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defaultThemeVersion="166925"/>
  <mc:AlternateContent xmlns:mc="http://schemas.openxmlformats.org/markup-compatibility/2006">
    <mc:Choice Requires="x15">
      <x15ac:absPath xmlns:x15ac="http://schemas.microsoft.com/office/spreadsheetml/2010/11/ac" url="C:\Users\hmalik\OneDrive - Octopus Digital\Documents\13 - Imran Ashraf\Project management\Epic Estimates and Priority Drill\modified\"/>
    </mc:Choice>
  </mc:AlternateContent>
  <xr:revisionPtr revIDLastSave="0" documentId="8_{6CBD74CA-4A87-496C-9C01-A1971E37DDDF}" xr6:coauthVersionLast="47" xr6:coauthVersionMax="47" xr10:uidLastSave="{00000000-0000-0000-0000-000000000000}"/>
  <bookViews>
    <workbookView xWindow="-108" yWindow="-108" windowWidth="19416" windowHeight="11496" firstSheet="14" activeTab="4" xr2:uid="{9FFF679D-24C9-4E50-A347-5EC542480A7A}"/>
  </bookViews>
  <sheets>
    <sheet name="Summary" sheetId="13" r:id="rId1"/>
    <sheet name="OmniConnect RMI" sheetId="1" r:id="rId2"/>
    <sheet name="Sheet6" sheetId="10" state="hidden" r:id="rId3"/>
    <sheet name="Fintech Fuel RMI" sheetId="2" r:id="rId4"/>
    <sheet name="OmniChat RMI" sheetId="4" r:id="rId5"/>
    <sheet name="Sheet4" sheetId="8" state="hidden" r:id="rId6"/>
    <sheet name="Sheet1" sheetId="5" state="hidden" r:id="rId7"/>
    <sheet name="Digital Log RMI" sheetId="11" r:id="rId8"/>
    <sheet name="Support" sheetId="16" r:id="rId9"/>
    <sheet name="Technical Support Raw Data" sheetId="15" r:id="rId10"/>
    <sheet name="Settings" sheetId="12" r:id="rId11"/>
    <sheet name="Misc" sheetId="7" state="hidden" r:id="rId12"/>
    <sheet name="Sheet3" sheetId="14" state="hidden" r:id="rId13"/>
    <sheet name="Sheet2" sheetId="17" r:id="rId14"/>
    <sheet name="Sheet5" sheetId="18" r:id="rId15"/>
  </sheets>
  <definedNames>
    <definedName name="_xlnm._FilterDatabase" localSheetId="1" hidden="1">'OmniConnect RMI'!$A$1:$AO$53</definedName>
    <definedName name="_xlnm._FilterDatabase" localSheetId="3" hidden="1">'Fintech Fuel RMI'!$A$2:$AO$2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17" l="1"/>
  <c r="Z56" i="2"/>
  <c r="Z18" i="4"/>
  <c r="H13" i="13"/>
  <c r="E8" i="13"/>
  <c r="L9" i="16"/>
  <c r="J10" i="16" s="1"/>
  <c r="J12" i="16" s="1"/>
  <c r="J13" i="16" s="1"/>
  <c r="J14" i="16" s="1"/>
  <c r="B6" i="16"/>
  <c r="B5" i="16"/>
  <c r="F13" i="15"/>
  <c r="F5" i="15"/>
  <c r="B4" i="16"/>
  <c r="B3" i="16"/>
  <c r="B2" i="16"/>
  <c r="E12" i="15"/>
  <c r="E11" i="15"/>
  <c r="D11" i="15"/>
  <c r="E10" i="15"/>
  <c r="D10" i="15"/>
  <c r="C10" i="15"/>
  <c r="F12" i="15"/>
  <c r="F11" i="15"/>
  <c r="F10" i="15"/>
  <c r="C3" i="16"/>
  <c r="D3" i="16"/>
  <c r="E3" i="16"/>
  <c r="F3" i="16"/>
  <c r="C4" i="16"/>
  <c r="D4" i="16"/>
  <c r="E4" i="16"/>
  <c r="F4" i="16"/>
  <c r="C5" i="16"/>
  <c r="D5" i="16"/>
  <c r="E5" i="16"/>
  <c r="F5" i="16"/>
  <c r="C6" i="16"/>
  <c r="D6" i="16"/>
  <c r="E6" i="16"/>
  <c r="F6" i="16"/>
  <c r="C2" i="16"/>
  <c r="F3" i="15"/>
  <c r="F4" i="15"/>
  <c r="F2" i="15"/>
  <c r="AE9" i="4"/>
  <c r="AF9" i="4"/>
  <c r="AG9" i="4"/>
  <c r="AI9" i="4"/>
  <c r="AJ9" i="4"/>
  <c r="AK9" i="4"/>
  <c r="AL9" i="4"/>
  <c r="AM9" i="4"/>
  <c r="AE3" i="4"/>
  <c r="AF3" i="4"/>
  <c r="AG3" i="4"/>
  <c r="AH3" i="4"/>
  <c r="AI3" i="4"/>
  <c r="AJ3" i="4"/>
  <c r="AK3" i="4"/>
  <c r="AL3" i="4"/>
  <c r="AM3" i="4"/>
  <c r="V9" i="4"/>
  <c r="W9" i="4"/>
  <c r="X9" i="4"/>
  <c r="V10" i="4"/>
  <c r="W10" i="4"/>
  <c r="X10" i="4"/>
  <c r="V11" i="4"/>
  <c r="W11" i="4"/>
  <c r="X11" i="4"/>
  <c r="V12" i="4"/>
  <c r="W12" i="4"/>
  <c r="X12" i="4"/>
  <c r="V13" i="4"/>
  <c r="W13" i="4"/>
  <c r="X13" i="4"/>
  <c r="V14" i="4"/>
  <c r="W14" i="4"/>
  <c r="X14" i="4"/>
  <c r="V15" i="4"/>
  <c r="W15" i="4"/>
  <c r="X15" i="4"/>
  <c r="V16" i="4"/>
  <c r="W16" i="4"/>
  <c r="X16" i="4"/>
  <c r="P34" i="2"/>
  <c r="O34" i="2"/>
  <c r="V5" i="2"/>
  <c r="B10" i="13"/>
  <c r="V49" i="1"/>
  <c r="B9" i="13"/>
  <c r="AD3" i="1"/>
  <c r="AB10" i="1"/>
  <c r="AA10" i="1"/>
  <c r="B12" i="13"/>
  <c r="P32" i="1"/>
  <c r="P31" i="1"/>
  <c r="P4" i="4"/>
  <c r="P36" i="1"/>
  <c r="P35" i="1"/>
  <c r="P34" i="1"/>
  <c r="P33" i="1"/>
  <c r="V32" i="1"/>
  <c r="E7" i="13"/>
  <c r="F7" i="13"/>
  <c r="F8" i="13" s="1"/>
  <c r="W2" i="1"/>
  <c r="B11" i="13"/>
  <c r="W10" i="1"/>
  <c r="X10" i="1"/>
  <c r="Y10" i="1"/>
  <c r="Z10" i="1" s="1"/>
  <c r="V4" i="1"/>
  <c r="V5" i="1"/>
  <c r="V6" i="1"/>
  <c r="V12" i="1"/>
  <c r="V13" i="1"/>
  <c r="V14" i="1"/>
  <c r="V15" i="1"/>
  <c r="V16" i="1"/>
  <c r="V17" i="1"/>
  <c r="V18" i="1"/>
  <c r="V19" i="1"/>
  <c r="V20" i="1"/>
  <c r="V21" i="1"/>
  <c r="V22" i="1"/>
  <c r="V23" i="1"/>
  <c r="V24" i="1"/>
  <c r="V25" i="1"/>
  <c r="V26" i="1"/>
  <c r="V27" i="1"/>
  <c r="V30" i="1"/>
  <c r="V37" i="1"/>
  <c r="V38" i="1"/>
  <c r="V40" i="1"/>
  <c r="V41" i="1"/>
  <c r="V42" i="1"/>
  <c r="V43" i="1"/>
  <c r="V44" i="1"/>
  <c r="V46" i="1"/>
  <c r="V47" i="1"/>
  <c r="V48" i="1"/>
  <c r="V50" i="1"/>
  <c r="V51" i="1"/>
  <c r="V52" i="1"/>
  <c r="W4" i="1"/>
  <c r="W5" i="1"/>
  <c r="W6" i="1"/>
  <c r="W12" i="1"/>
  <c r="W13" i="1"/>
  <c r="W14" i="1"/>
  <c r="W15" i="1"/>
  <c r="W16" i="1"/>
  <c r="W17" i="1"/>
  <c r="W18" i="1"/>
  <c r="W19" i="1"/>
  <c r="W20" i="1"/>
  <c r="W21" i="1"/>
  <c r="W22" i="1"/>
  <c r="W23" i="1"/>
  <c r="W24" i="1"/>
  <c r="W25" i="1"/>
  <c r="W26" i="1"/>
  <c r="W27" i="1"/>
  <c r="W29" i="1"/>
  <c r="W30" i="1"/>
  <c r="W37" i="1"/>
  <c r="W38" i="1"/>
  <c r="W39" i="1"/>
  <c r="W40" i="1"/>
  <c r="W41" i="1"/>
  <c r="W42" i="1"/>
  <c r="W43" i="1"/>
  <c r="W44" i="1"/>
  <c r="W46" i="1"/>
  <c r="W47" i="1"/>
  <c r="W48" i="1"/>
  <c r="W50" i="1"/>
  <c r="W51" i="1"/>
  <c r="W52" i="1"/>
  <c r="V4" i="11"/>
  <c r="V5" i="11"/>
  <c r="V6" i="11"/>
  <c r="V7" i="11"/>
  <c r="V8" i="11"/>
  <c r="V9" i="11"/>
  <c r="V10" i="11"/>
  <c r="V11" i="11"/>
  <c r="V12" i="11"/>
  <c r="V13" i="11"/>
  <c r="V14" i="11"/>
  <c r="V15" i="11"/>
  <c r="V16" i="11"/>
  <c r="V17" i="11"/>
  <c r="V18" i="11"/>
  <c r="V19" i="11"/>
  <c r="V20" i="11"/>
  <c r="V21" i="11"/>
  <c r="V22" i="11"/>
  <c r="V23" i="11"/>
  <c r="V24" i="11"/>
  <c r="V25" i="11"/>
  <c r="V26" i="11"/>
  <c r="V27" i="11"/>
  <c r="V28" i="11"/>
  <c r="V29" i="11"/>
  <c r="V30" i="11"/>
  <c r="V31" i="11"/>
  <c r="V32" i="11"/>
  <c r="V3" i="11"/>
  <c r="P28" i="2"/>
  <c r="P27" i="2"/>
  <c r="P31" i="2"/>
  <c r="O31" i="2"/>
  <c r="V55" i="2"/>
  <c r="X55" i="2" s="1"/>
  <c r="A4" i="2"/>
  <c r="A6" i="2" s="1"/>
  <c r="A7" i="2" s="1"/>
  <c r="A8" i="2" s="1"/>
  <c r="A9" i="2" s="1"/>
  <c r="A10" i="2" s="1"/>
  <c r="A11" i="2" s="1"/>
  <c r="A12" i="2" s="1"/>
  <c r="A13" i="2" s="1"/>
  <c r="A14" i="2" s="1"/>
  <c r="A15" i="2" s="1"/>
  <c r="A16" i="2" s="1"/>
  <c r="A17" i="2" s="1"/>
  <c r="A18" i="2" s="1"/>
  <c r="V35" i="2"/>
  <c r="X35" i="2" s="1"/>
  <c r="V36" i="2"/>
  <c r="X36" i="2" s="1"/>
  <c r="V37" i="2"/>
  <c r="X37" i="2" s="1"/>
  <c r="V38" i="2"/>
  <c r="X38" i="2" s="1"/>
  <c r="V39" i="2"/>
  <c r="X39" i="2" s="1"/>
  <c r="V40" i="2"/>
  <c r="X40" i="2" s="1"/>
  <c r="V41" i="2"/>
  <c r="X41" i="2" s="1"/>
  <c r="V42" i="2"/>
  <c r="X42" i="2" s="1"/>
  <c r="V43" i="2"/>
  <c r="X43" i="2" s="1"/>
  <c r="V44" i="2"/>
  <c r="X44" i="2" s="1"/>
  <c r="V45" i="2"/>
  <c r="X45" i="2" s="1"/>
  <c r="V46" i="2"/>
  <c r="X46" i="2" s="1"/>
  <c r="V47" i="2"/>
  <c r="X47" i="2" s="1"/>
  <c r="V48" i="2"/>
  <c r="X48" i="2" s="1"/>
  <c r="V49" i="2"/>
  <c r="X49" i="2" s="1"/>
  <c r="V50" i="2"/>
  <c r="X50" i="2" s="1"/>
  <c r="V51" i="2"/>
  <c r="X51" i="2" s="1"/>
  <c r="V52" i="2"/>
  <c r="X52" i="2" s="1"/>
  <c r="V53" i="2"/>
  <c r="X53" i="2" s="1"/>
  <c r="V54" i="2"/>
  <c r="X54" i="2" s="1"/>
  <c r="V33" i="2"/>
  <c r="X33" i="2" s="1"/>
  <c r="V34" i="1"/>
  <c r="V35" i="1"/>
  <c r="V36" i="1"/>
  <c r="V33" i="1"/>
  <c r="V31" i="1"/>
  <c r="U45" i="1"/>
  <c r="U28" i="1"/>
  <c r="V4" i="4"/>
  <c r="V5" i="4"/>
  <c r="V6" i="4"/>
  <c r="V7" i="4"/>
  <c r="V8" i="4"/>
  <c r="V17" i="4"/>
  <c r="V3" i="4"/>
  <c r="X3" i="4" s="1"/>
  <c r="V28" i="2"/>
  <c r="X28" i="2" s="1"/>
  <c r="V27" i="2"/>
  <c r="X27" i="2" s="1"/>
  <c r="P8" i="1"/>
  <c r="P9" i="1"/>
  <c r="P7" i="1"/>
  <c r="U8" i="1"/>
  <c r="U9" i="1"/>
  <c r="U7" i="1"/>
  <c r="V4" i="2"/>
  <c r="V6" i="2"/>
  <c r="X6" i="2" s="1"/>
  <c r="V7" i="2"/>
  <c r="X7" i="2" s="1"/>
  <c r="V8" i="2"/>
  <c r="X8" i="2" s="1"/>
  <c r="V9" i="2"/>
  <c r="X9" i="2" s="1"/>
  <c r="V10" i="2"/>
  <c r="X10" i="2" s="1"/>
  <c r="V11" i="2"/>
  <c r="X11" i="2" s="1"/>
  <c r="V12" i="2"/>
  <c r="X12" i="2" s="1"/>
  <c r="V13" i="2"/>
  <c r="X13" i="2" s="1"/>
  <c r="V14" i="2"/>
  <c r="X14" i="2" s="1"/>
  <c r="V15" i="2"/>
  <c r="X15" i="2" s="1"/>
  <c r="V16" i="2"/>
  <c r="X16" i="2" s="1"/>
  <c r="V17" i="2"/>
  <c r="X17" i="2" s="1"/>
  <c r="V18" i="2"/>
  <c r="X18" i="2" s="1"/>
  <c r="V19" i="2"/>
  <c r="X19" i="2" s="1"/>
  <c r="V20" i="2"/>
  <c r="X20" i="2" s="1"/>
  <c r="V21" i="2"/>
  <c r="X21" i="2" s="1"/>
  <c r="V22" i="2"/>
  <c r="X22" i="2" s="1"/>
  <c r="V23" i="2"/>
  <c r="X23" i="2" s="1"/>
  <c r="V24" i="2"/>
  <c r="X24" i="2" s="1"/>
  <c r="V25" i="2"/>
  <c r="X25" i="2" s="1"/>
  <c r="V26" i="2"/>
  <c r="X26" i="2" s="1"/>
  <c r="V29" i="2"/>
  <c r="X29" i="2" s="1"/>
  <c r="V30" i="2"/>
  <c r="X30" i="2" s="1"/>
  <c r="V31" i="2"/>
  <c r="X31" i="2" s="1"/>
  <c r="V32" i="2"/>
  <c r="X32" i="2" s="1"/>
  <c r="V34" i="2"/>
  <c r="X34" i="2" s="1"/>
  <c r="V3" i="2"/>
  <c r="J15" i="16" l="1"/>
  <c r="N14" i="16"/>
  <c r="D2" i="16"/>
  <c r="E2" i="16"/>
  <c r="AE10" i="1"/>
  <c r="AF10" i="1"/>
  <c r="AG10" i="1"/>
  <c r="AJ10" i="1"/>
  <c r="AK10" i="1"/>
  <c r="AL10" i="1"/>
  <c r="AM10" i="1"/>
  <c r="W2" i="11"/>
  <c r="W2" i="4"/>
  <c r="W2" i="2"/>
  <c r="AH9" i="4"/>
  <c r="AI10" i="1"/>
  <c r="AH10" i="1" s="1"/>
  <c r="A19" i="2"/>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V28" i="1"/>
  <c r="V45" i="1"/>
  <c r="X4" i="2"/>
  <c r="W4" i="2"/>
  <c r="W5" i="2"/>
  <c r="X5" i="2"/>
  <c r="X3" i="2"/>
  <c r="W49" i="1"/>
  <c r="X49" i="1"/>
  <c r="X8" i="4"/>
  <c r="W8" i="4"/>
  <c r="X7" i="4"/>
  <c r="W7" i="4"/>
  <c r="X6" i="4"/>
  <c r="W6" i="4"/>
  <c r="X5" i="4"/>
  <c r="W5" i="4"/>
  <c r="X4" i="4"/>
  <c r="W4" i="4"/>
  <c r="Y4" i="4" s="1"/>
  <c r="Z4" i="4" s="1"/>
  <c r="X17" i="4"/>
  <c r="W17" i="4"/>
  <c r="W32" i="1"/>
  <c r="X32" i="1"/>
  <c r="V56" i="2"/>
  <c r="D10" i="13" s="1"/>
  <c r="W3" i="2"/>
  <c r="W34" i="2"/>
  <c r="W32" i="2"/>
  <c r="W31" i="2"/>
  <c r="W30" i="2"/>
  <c r="W29" i="2"/>
  <c r="W26" i="2"/>
  <c r="W25" i="2"/>
  <c r="W24" i="2"/>
  <c r="W23" i="2"/>
  <c r="W22" i="2"/>
  <c r="W21" i="2"/>
  <c r="W20" i="2"/>
  <c r="W19" i="2"/>
  <c r="W18" i="2"/>
  <c r="W17" i="2"/>
  <c r="W16" i="2"/>
  <c r="W15" i="2"/>
  <c r="W14" i="2"/>
  <c r="W13" i="2"/>
  <c r="W12" i="2"/>
  <c r="W11" i="2"/>
  <c r="W10" i="2"/>
  <c r="W9" i="2"/>
  <c r="W8" i="2"/>
  <c r="W7" i="2"/>
  <c r="W6" i="2"/>
  <c r="W27" i="2"/>
  <c r="W28" i="2"/>
  <c r="W33" i="2"/>
  <c r="W54" i="2"/>
  <c r="W53" i="2"/>
  <c r="W52" i="2"/>
  <c r="W51" i="2"/>
  <c r="W50" i="2"/>
  <c r="W49" i="2"/>
  <c r="W48" i="2"/>
  <c r="W47" i="2"/>
  <c r="W46" i="2"/>
  <c r="W45" i="2"/>
  <c r="W44" i="2"/>
  <c r="W43" i="2"/>
  <c r="W42" i="2"/>
  <c r="W41" i="2"/>
  <c r="W40" i="2"/>
  <c r="W39" i="2"/>
  <c r="W38" i="2"/>
  <c r="W37" i="2"/>
  <c r="W36" i="2"/>
  <c r="W35" i="2"/>
  <c r="W55" i="2"/>
  <c r="V18" i="4"/>
  <c r="D11" i="13" s="1"/>
  <c r="W3" i="4"/>
  <c r="V33" i="11"/>
  <c r="D12" i="13" s="1"/>
  <c r="W3" i="11"/>
  <c r="W32" i="11"/>
  <c r="X32" i="11"/>
  <c r="W31" i="11"/>
  <c r="X31" i="11"/>
  <c r="W30" i="11"/>
  <c r="X30" i="11"/>
  <c r="W29" i="11"/>
  <c r="X29" i="11"/>
  <c r="W28" i="11"/>
  <c r="X28" i="11"/>
  <c r="W27" i="11"/>
  <c r="X27" i="11"/>
  <c r="W26" i="11"/>
  <c r="X26" i="11"/>
  <c r="W25" i="11"/>
  <c r="X25" i="11"/>
  <c r="W24" i="11"/>
  <c r="X24" i="11"/>
  <c r="W23" i="11"/>
  <c r="X23" i="11"/>
  <c r="W22" i="11"/>
  <c r="X22" i="11"/>
  <c r="W21" i="11"/>
  <c r="X21" i="11"/>
  <c r="W20" i="11"/>
  <c r="X20" i="11"/>
  <c r="W19" i="11"/>
  <c r="X19" i="11"/>
  <c r="W18" i="11"/>
  <c r="X18" i="11"/>
  <c r="W17" i="11"/>
  <c r="X17" i="11"/>
  <c r="W16" i="11"/>
  <c r="X16" i="11"/>
  <c r="W15" i="11"/>
  <c r="X15" i="11"/>
  <c r="W14" i="11"/>
  <c r="X14" i="11"/>
  <c r="W13" i="11"/>
  <c r="X13" i="11"/>
  <c r="W12" i="11"/>
  <c r="X12" i="11"/>
  <c r="W11" i="11"/>
  <c r="X11" i="11"/>
  <c r="W10" i="11"/>
  <c r="X10" i="11"/>
  <c r="W9" i="11"/>
  <c r="X9" i="11"/>
  <c r="W8" i="11"/>
  <c r="X8" i="11"/>
  <c r="W7" i="11"/>
  <c r="X7" i="11"/>
  <c r="W6" i="11"/>
  <c r="X6" i="11"/>
  <c r="W5" i="11"/>
  <c r="X5" i="11"/>
  <c r="W4" i="11"/>
  <c r="X4" i="11"/>
  <c r="V7" i="1"/>
  <c r="V9" i="1"/>
  <c r="V8" i="1"/>
  <c r="W28" i="1"/>
  <c r="X28" i="1" s="1"/>
  <c r="W45" i="1"/>
  <c r="X45" i="1" s="1"/>
  <c r="W31" i="1"/>
  <c r="W33" i="1"/>
  <c r="W36" i="1"/>
  <c r="W35" i="1"/>
  <c r="W34" i="1"/>
  <c r="X52" i="1"/>
  <c r="X51" i="1"/>
  <c r="X50" i="1"/>
  <c r="X48" i="1"/>
  <c r="X47" i="1"/>
  <c r="X46" i="1"/>
  <c r="X44" i="1"/>
  <c r="X43" i="1"/>
  <c r="X42" i="1"/>
  <c r="X41" i="1"/>
  <c r="X40" i="1"/>
  <c r="X39" i="1"/>
  <c r="X38" i="1"/>
  <c r="X37" i="1"/>
  <c r="X30" i="1"/>
  <c r="Y30" i="1" s="1"/>
  <c r="Z30" i="1" s="1"/>
  <c r="X29" i="1"/>
  <c r="Y29" i="1" s="1"/>
  <c r="Z29" i="1" s="1"/>
  <c r="X27" i="1"/>
  <c r="X26" i="1"/>
  <c r="X25" i="1"/>
  <c r="X24" i="1"/>
  <c r="X23" i="1"/>
  <c r="X22" i="1"/>
  <c r="X21" i="1"/>
  <c r="X20" i="1"/>
  <c r="X19" i="1"/>
  <c r="X18" i="1"/>
  <c r="X17" i="1"/>
  <c r="X16" i="1"/>
  <c r="X15" i="1"/>
  <c r="X14" i="1"/>
  <c r="X13" i="1"/>
  <c r="X12" i="1"/>
  <c r="X6" i="1"/>
  <c r="X5" i="1"/>
  <c r="X4" i="1"/>
  <c r="Y54" i="2"/>
  <c r="Z54" i="2" s="1"/>
  <c r="Y53" i="2"/>
  <c r="Z53" i="2" s="1"/>
  <c r="Y52" i="2"/>
  <c r="Z52" i="2" s="1"/>
  <c r="Y51" i="2"/>
  <c r="Z51" i="2" s="1"/>
  <c r="Y50" i="2"/>
  <c r="Z50" i="2" s="1"/>
  <c r="Y49" i="2"/>
  <c r="Z49" i="2" s="1"/>
  <c r="Y48" i="2"/>
  <c r="Z48" i="2" s="1"/>
  <c r="Y47" i="2"/>
  <c r="Z47" i="2" s="1"/>
  <c r="Y46" i="2"/>
  <c r="Z46" i="2" s="1"/>
  <c r="Y45" i="2"/>
  <c r="Z45" i="2" s="1"/>
  <c r="Y44" i="2"/>
  <c r="Z44" i="2" s="1"/>
  <c r="Y43" i="2"/>
  <c r="Z43" i="2" s="1"/>
  <c r="Y42" i="2"/>
  <c r="Z42" i="2" s="1"/>
  <c r="Y41" i="2"/>
  <c r="Z41" i="2" s="1"/>
  <c r="Y40" i="2"/>
  <c r="Z40" i="2" s="1"/>
  <c r="Y39" i="2"/>
  <c r="Z39" i="2" s="1"/>
  <c r="Y38" i="2"/>
  <c r="Z38" i="2" s="1"/>
  <c r="Y37" i="2"/>
  <c r="Z37" i="2" s="1"/>
  <c r="Y36" i="2"/>
  <c r="Z36" i="2" s="1"/>
  <c r="Y27" i="2"/>
  <c r="Z27" i="2" s="1"/>
  <c r="Y28" i="2"/>
  <c r="Z28" i="2" s="1"/>
  <c r="Y35" i="2"/>
  <c r="Z35" i="2" s="1"/>
  <c r="Y34" i="2"/>
  <c r="Z34" i="2" s="1"/>
  <c r="Y32" i="2"/>
  <c r="Z32" i="2" s="1"/>
  <c r="Y31" i="2"/>
  <c r="Z31" i="2" s="1"/>
  <c r="Y30" i="2"/>
  <c r="Z30" i="2" s="1"/>
  <c r="Y29" i="2"/>
  <c r="Z29" i="2" s="1"/>
  <c r="Y26" i="2"/>
  <c r="Z26" i="2" s="1"/>
  <c r="Y25" i="2"/>
  <c r="Z25" i="2" s="1"/>
  <c r="Y24" i="2"/>
  <c r="Z24" i="2" s="1"/>
  <c r="Y23" i="2"/>
  <c r="Z23" i="2" s="1"/>
  <c r="Y22" i="2"/>
  <c r="Z22" i="2" s="1"/>
  <c r="Y21" i="2"/>
  <c r="Z21" i="2" s="1"/>
  <c r="Y20" i="2"/>
  <c r="Z20" i="2" s="1"/>
  <c r="Y19" i="2"/>
  <c r="Z19" i="2" s="1"/>
  <c r="Y18" i="2"/>
  <c r="Z18" i="2" s="1"/>
  <c r="Y17" i="2"/>
  <c r="Z17" i="2" s="1"/>
  <c r="Y16" i="2"/>
  <c r="Z16" i="2" s="1"/>
  <c r="Y15" i="2"/>
  <c r="Z15" i="2" s="1"/>
  <c r="Y14" i="2"/>
  <c r="Z14" i="2" s="1"/>
  <c r="Y13" i="2"/>
  <c r="Z13" i="2" s="1"/>
  <c r="Y12" i="2"/>
  <c r="Z12" i="2" s="1"/>
  <c r="Y11" i="2"/>
  <c r="Z11" i="2" s="1"/>
  <c r="Y10" i="2"/>
  <c r="Z10" i="2" s="1"/>
  <c r="Y9" i="2"/>
  <c r="Z9" i="2" s="1"/>
  <c r="Y8" i="2"/>
  <c r="Z8" i="2" s="1"/>
  <c r="Y7" i="2"/>
  <c r="Z7" i="2" s="1"/>
  <c r="Y6" i="2"/>
  <c r="Z6" i="2" s="1"/>
  <c r="Y4" i="2"/>
  <c r="Z4" i="2" s="1"/>
  <c r="V3" i="1"/>
  <c r="R11" i="1"/>
  <c r="AE4" i="4" l="1"/>
  <c r="AF4" i="4"/>
  <c r="AG4" i="4"/>
  <c r="AJ4" i="4"/>
  <c r="AK4" i="4"/>
  <c r="AL4" i="4"/>
  <c r="AM4" i="4"/>
  <c r="AI4" i="4"/>
  <c r="AH4" i="4" s="1"/>
  <c r="P14" i="16"/>
  <c r="O14" i="16"/>
  <c r="Q14" i="16" s="1"/>
  <c r="R14" i="16" s="1"/>
  <c r="F2" i="16"/>
  <c r="AE4" i="2"/>
  <c r="AF4" i="2"/>
  <c r="AG4" i="2"/>
  <c r="AJ4" i="2"/>
  <c r="AK4" i="2"/>
  <c r="AL4" i="2"/>
  <c r="AM4" i="2"/>
  <c r="AI4" i="2"/>
  <c r="AH4" i="2" s="1"/>
  <c r="AE6" i="2"/>
  <c r="AF6" i="2"/>
  <c r="AG6" i="2"/>
  <c r="AJ6" i="2"/>
  <c r="AK6" i="2"/>
  <c r="AL6" i="2"/>
  <c r="AM6" i="2"/>
  <c r="AI6" i="2"/>
  <c r="AH6" i="2" s="1"/>
  <c r="AE7" i="2"/>
  <c r="AF7" i="2"/>
  <c r="AG7" i="2"/>
  <c r="AJ7" i="2"/>
  <c r="AK7" i="2"/>
  <c r="AL7" i="2"/>
  <c r="AM7" i="2"/>
  <c r="AI7" i="2"/>
  <c r="AH7" i="2" s="1"/>
  <c r="AE8" i="2"/>
  <c r="AF8" i="2"/>
  <c r="AG8" i="2"/>
  <c r="AJ8" i="2"/>
  <c r="AK8" i="2"/>
  <c r="AL8" i="2"/>
  <c r="AM8" i="2"/>
  <c r="AI8" i="2"/>
  <c r="AH8" i="2" s="1"/>
  <c r="AE9" i="2"/>
  <c r="AF9" i="2"/>
  <c r="AG9" i="2"/>
  <c r="AJ9" i="2"/>
  <c r="AK9" i="2"/>
  <c r="AL9" i="2"/>
  <c r="AM9" i="2"/>
  <c r="AI9" i="2"/>
  <c r="AH9" i="2" s="1"/>
  <c r="AE10" i="2"/>
  <c r="AF10" i="2"/>
  <c r="AG10" i="2"/>
  <c r="AJ10" i="2"/>
  <c r="AK10" i="2"/>
  <c r="AL10" i="2"/>
  <c r="AM10" i="2"/>
  <c r="AI10" i="2"/>
  <c r="AH10" i="2" s="1"/>
  <c r="AE11" i="2"/>
  <c r="AF11" i="2"/>
  <c r="AG11" i="2"/>
  <c r="AJ11" i="2"/>
  <c r="AK11" i="2"/>
  <c r="AL11" i="2"/>
  <c r="AM11" i="2"/>
  <c r="AI11" i="2"/>
  <c r="AH11" i="2" s="1"/>
  <c r="AE12" i="2"/>
  <c r="AF12" i="2"/>
  <c r="AG12" i="2"/>
  <c r="AJ12" i="2"/>
  <c r="AK12" i="2"/>
  <c r="AL12" i="2"/>
  <c r="AM12" i="2"/>
  <c r="AI12" i="2"/>
  <c r="AH12" i="2" s="1"/>
  <c r="AE13" i="2"/>
  <c r="AF13" i="2"/>
  <c r="AG13" i="2"/>
  <c r="AJ13" i="2"/>
  <c r="AK13" i="2"/>
  <c r="AL13" i="2"/>
  <c r="AM13" i="2"/>
  <c r="AI13" i="2"/>
  <c r="AH13" i="2" s="1"/>
  <c r="AE14" i="2"/>
  <c r="AF14" i="2"/>
  <c r="AG14" i="2"/>
  <c r="AJ14" i="2"/>
  <c r="AK14" i="2"/>
  <c r="AL14" i="2"/>
  <c r="AM14" i="2"/>
  <c r="AI14" i="2"/>
  <c r="AH14" i="2" s="1"/>
  <c r="AE15" i="2"/>
  <c r="AF15" i="2"/>
  <c r="AG15" i="2"/>
  <c r="AJ15" i="2"/>
  <c r="AK15" i="2"/>
  <c r="AL15" i="2"/>
  <c r="AM15" i="2"/>
  <c r="AI15" i="2"/>
  <c r="AH15" i="2" s="1"/>
  <c r="AE16" i="2"/>
  <c r="AF16" i="2"/>
  <c r="AG16" i="2"/>
  <c r="AJ16" i="2"/>
  <c r="AK16" i="2"/>
  <c r="AL16" i="2"/>
  <c r="AM16" i="2"/>
  <c r="AI16" i="2"/>
  <c r="AH16" i="2" s="1"/>
  <c r="AE17" i="2"/>
  <c r="AF17" i="2"/>
  <c r="AG17" i="2"/>
  <c r="AJ17" i="2"/>
  <c r="AK17" i="2"/>
  <c r="AL17" i="2"/>
  <c r="AM17" i="2"/>
  <c r="AI17" i="2"/>
  <c r="AH17" i="2" s="1"/>
  <c r="AE18" i="2"/>
  <c r="AF18" i="2"/>
  <c r="AG18" i="2"/>
  <c r="AJ18" i="2"/>
  <c r="AK18" i="2"/>
  <c r="AL18" i="2"/>
  <c r="AM18" i="2"/>
  <c r="AI18" i="2"/>
  <c r="AH18" i="2" s="1"/>
  <c r="AE19" i="2"/>
  <c r="AF19" i="2"/>
  <c r="AG19" i="2"/>
  <c r="AI19" i="2"/>
  <c r="AJ19" i="2"/>
  <c r="AK19" i="2"/>
  <c r="AL19" i="2"/>
  <c r="AM19" i="2"/>
  <c r="AH19" i="2"/>
  <c r="AE20" i="2"/>
  <c r="AF20" i="2"/>
  <c r="AG20" i="2"/>
  <c r="AI20" i="2"/>
  <c r="AJ20" i="2"/>
  <c r="AK20" i="2"/>
  <c r="AL20" i="2"/>
  <c r="AM20" i="2"/>
  <c r="AH20" i="2"/>
  <c r="AE21" i="2"/>
  <c r="AF21" i="2"/>
  <c r="AG21" i="2"/>
  <c r="AI21" i="2"/>
  <c r="AJ21" i="2"/>
  <c r="AK21" i="2"/>
  <c r="AL21" i="2"/>
  <c r="AM21" i="2"/>
  <c r="AH21" i="2"/>
  <c r="AE22" i="2"/>
  <c r="AF22" i="2"/>
  <c r="AG22" i="2"/>
  <c r="AJ22" i="2"/>
  <c r="AK22" i="2"/>
  <c r="AL22" i="2"/>
  <c r="AM22" i="2"/>
  <c r="AI22" i="2"/>
  <c r="AH22" i="2" s="1"/>
  <c r="AE23" i="2"/>
  <c r="AF23" i="2"/>
  <c r="AG23" i="2"/>
  <c r="AJ23" i="2"/>
  <c r="AK23" i="2"/>
  <c r="AL23" i="2"/>
  <c r="AM23" i="2"/>
  <c r="AI23" i="2"/>
  <c r="AH23" i="2" s="1"/>
  <c r="AE24" i="2"/>
  <c r="AF24" i="2"/>
  <c r="AG24" i="2"/>
  <c r="AJ24" i="2"/>
  <c r="AK24" i="2"/>
  <c r="AL24" i="2"/>
  <c r="AM24" i="2"/>
  <c r="AI24" i="2"/>
  <c r="AH24" i="2" s="1"/>
  <c r="AE25" i="2"/>
  <c r="AF25" i="2"/>
  <c r="AG25" i="2"/>
  <c r="AJ25" i="2"/>
  <c r="AK25" i="2"/>
  <c r="AL25" i="2"/>
  <c r="AM25" i="2"/>
  <c r="AI25" i="2"/>
  <c r="AH25" i="2" s="1"/>
  <c r="AE26" i="2"/>
  <c r="AF26" i="2"/>
  <c r="AG26" i="2"/>
  <c r="AJ26" i="2"/>
  <c r="AK26" i="2"/>
  <c r="AL26" i="2"/>
  <c r="AM26" i="2"/>
  <c r="AI26" i="2"/>
  <c r="AH26" i="2" s="1"/>
  <c r="AE29" i="2"/>
  <c r="AF29" i="2"/>
  <c r="AG29" i="2"/>
  <c r="AJ29" i="2"/>
  <c r="AK29" i="2"/>
  <c r="AL29" i="2"/>
  <c r="AM29" i="2"/>
  <c r="AI29" i="2"/>
  <c r="AH29" i="2" s="1"/>
  <c r="AE30" i="2"/>
  <c r="AF30" i="2"/>
  <c r="AG30" i="2"/>
  <c r="AJ30" i="2"/>
  <c r="AK30" i="2"/>
  <c r="AL30" i="2"/>
  <c r="AM30" i="2"/>
  <c r="AI30" i="2"/>
  <c r="AH30" i="2" s="1"/>
  <c r="AE31" i="2"/>
  <c r="AF31" i="2"/>
  <c r="AG31" i="2"/>
  <c r="AJ31" i="2"/>
  <c r="AK31" i="2"/>
  <c r="AL31" i="2"/>
  <c r="AM31" i="2"/>
  <c r="AI31" i="2"/>
  <c r="AH31" i="2" s="1"/>
  <c r="AE32" i="2"/>
  <c r="AF32" i="2"/>
  <c r="AG32" i="2"/>
  <c r="AJ32" i="2"/>
  <c r="AK32" i="2"/>
  <c r="AL32" i="2"/>
  <c r="AM32" i="2"/>
  <c r="AI32" i="2"/>
  <c r="AH32" i="2" s="1"/>
  <c r="AE34" i="2"/>
  <c r="AF34" i="2"/>
  <c r="AG34" i="2"/>
  <c r="AJ34" i="2"/>
  <c r="AK34" i="2"/>
  <c r="AL34" i="2"/>
  <c r="AM34" i="2"/>
  <c r="AI34" i="2"/>
  <c r="AH34" i="2" s="1"/>
  <c r="AE35" i="2"/>
  <c r="AF35" i="2"/>
  <c r="AG35" i="2"/>
  <c r="AI35" i="2"/>
  <c r="AJ35" i="2"/>
  <c r="AK35" i="2"/>
  <c r="AL35" i="2"/>
  <c r="AM35" i="2"/>
  <c r="AH35" i="2"/>
  <c r="AE28" i="2"/>
  <c r="AF28" i="2"/>
  <c r="AG28" i="2"/>
  <c r="AJ28" i="2"/>
  <c r="AK28" i="2"/>
  <c r="AL28" i="2"/>
  <c r="AM28" i="2"/>
  <c r="AI28" i="2"/>
  <c r="AH28" i="2" s="1"/>
  <c r="AE27" i="2"/>
  <c r="AF27" i="2"/>
  <c r="AG27" i="2"/>
  <c r="AJ27" i="2"/>
  <c r="AK27" i="2"/>
  <c r="AL27" i="2"/>
  <c r="AM27" i="2"/>
  <c r="AI27" i="2"/>
  <c r="AH27" i="2" s="1"/>
  <c r="AE36" i="2"/>
  <c r="AF36" i="2"/>
  <c r="AG36" i="2"/>
  <c r="AJ36" i="2"/>
  <c r="AK36" i="2"/>
  <c r="AL36" i="2"/>
  <c r="AM36" i="2"/>
  <c r="AI36" i="2"/>
  <c r="AH36" i="2" s="1"/>
  <c r="AE37" i="2"/>
  <c r="AF37" i="2"/>
  <c r="AG37" i="2"/>
  <c r="AJ37" i="2"/>
  <c r="AK37" i="2"/>
  <c r="AL37" i="2"/>
  <c r="AM37" i="2"/>
  <c r="AI37" i="2"/>
  <c r="AH37" i="2" s="1"/>
  <c r="AE38" i="2"/>
  <c r="AF38" i="2"/>
  <c r="AG38" i="2"/>
  <c r="AJ38" i="2"/>
  <c r="AK38" i="2"/>
  <c r="AL38" i="2"/>
  <c r="AM38" i="2"/>
  <c r="AI38" i="2"/>
  <c r="AH38" i="2" s="1"/>
  <c r="AE39" i="2"/>
  <c r="AF39" i="2"/>
  <c r="AG39" i="2"/>
  <c r="AJ39" i="2"/>
  <c r="AK39" i="2"/>
  <c r="AL39" i="2"/>
  <c r="AM39" i="2"/>
  <c r="AI39" i="2"/>
  <c r="AH39" i="2" s="1"/>
  <c r="AE40" i="2"/>
  <c r="AF40" i="2"/>
  <c r="AG40" i="2"/>
  <c r="AJ40" i="2"/>
  <c r="AK40" i="2"/>
  <c r="AL40" i="2"/>
  <c r="AM40" i="2"/>
  <c r="AI40" i="2"/>
  <c r="AH40" i="2" s="1"/>
  <c r="AE41" i="2"/>
  <c r="AF41" i="2"/>
  <c r="AG41" i="2"/>
  <c r="AJ41" i="2"/>
  <c r="AK41" i="2"/>
  <c r="AL41" i="2"/>
  <c r="AM41" i="2"/>
  <c r="AI41" i="2"/>
  <c r="AH41" i="2" s="1"/>
  <c r="AE42" i="2"/>
  <c r="AF42" i="2"/>
  <c r="AG42" i="2"/>
  <c r="AJ42" i="2"/>
  <c r="AK42" i="2"/>
  <c r="AL42" i="2"/>
  <c r="AM42" i="2"/>
  <c r="AI42" i="2"/>
  <c r="AH42" i="2" s="1"/>
  <c r="AE43" i="2"/>
  <c r="AF43" i="2"/>
  <c r="AG43" i="2"/>
  <c r="AJ43" i="2"/>
  <c r="AK43" i="2"/>
  <c r="AL43" i="2"/>
  <c r="AM43" i="2"/>
  <c r="AI43" i="2"/>
  <c r="AH43" i="2" s="1"/>
  <c r="AE44" i="2"/>
  <c r="AF44" i="2"/>
  <c r="AG44" i="2"/>
  <c r="AJ44" i="2"/>
  <c r="AK44" i="2"/>
  <c r="AL44" i="2"/>
  <c r="AM44" i="2"/>
  <c r="AI44" i="2"/>
  <c r="AH44" i="2" s="1"/>
  <c r="AE45" i="2"/>
  <c r="AF45" i="2"/>
  <c r="AG45" i="2"/>
  <c r="AJ45" i="2"/>
  <c r="AK45" i="2"/>
  <c r="AL45" i="2"/>
  <c r="AM45" i="2"/>
  <c r="AI45" i="2"/>
  <c r="AH45" i="2" s="1"/>
  <c r="AE46" i="2"/>
  <c r="AF46" i="2"/>
  <c r="AG46" i="2"/>
  <c r="AJ46" i="2"/>
  <c r="AK46" i="2"/>
  <c r="AL46" i="2"/>
  <c r="AM46" i="2"/>
  <c r="AI46" i="2"/>
  <c r="AH46" i="2" s="1"/>
  <c r="AE47" i="2"/>
  <c r="AF47" i="2"/>
  <c r="AG47" i="2"/>
  <c r="AJ47" i="2"/>
  <c r="AK47" i="2"/>
  <c r="AL47" i="2"/>
  <c r="AM47" i="2"/>
  <c r="AI47" i="2"/>
  <c r="AH47" i="2" s="1"/>
  <c r="AE48" i="2"/>
  <c r="AF48" i="2"/>
  <c r="AG48" i="2"/>
  <c r="AJ48" i="2"/>
  <c r="AK48" i="2"/>
  <c r="AL48" i="2"/>
  <c r="AM48" i="2"/>
  <c r="AI48" i="2"/>
  <c r="AH48" i="2" s="1"/>
  <c r="AE49" i="2"/>
  <c r="AF49" i="2"/>
  <c r="AG49" i="2"/>
  <c r="AJ49" i="2"/>
  <c r="AK49" i="2"/>
  <c r="AL49" i="2"/>
  <c r="AM49" i="2"/>
  <c r="AI49" i="2"/>
  <c r="AH49" i="2" s="1"/>
  <c r="AE50" i="2"/>
  <c r="AF50" i="2"/>
  <c r="AG50" i="2"/>
  <c r="AJ50" i="2"/>
  <c r="AK50" i="2"/>
  <c r="AL50" i="2"/>
  <c r="AM50" i="2"/>
  <c r="AI50" i="2"/>
  <c r="AH50" i="2" s="1"/>
  <c r="AE51" i="2"/>
  <c r="AF51" i="2"/>
  <c r="AG51" i="2"/>
  <c r="AJ51" i="2"/>
  <c r="AK51" i="2"/>
  <c r="AL51" i="2"/>
  <c r="AM51" i="2"/>
  <c r="AI51" i="2"/>
  <c r="AH51" i="2" s="1"/>
  <c r="AE52" i="2"/>
  <c r="AF52" i="2"/>
  <c r="AG52" i="2"/>
  <c r="AJ52" i="2"/>
  <c r="AK52" i="2"/>
  <c r="AL52" i="2"/>
  <c r="AM52" i="2"/>
  <c r="AI52" i="2"/>
  <c r="AH52" i="2" s="1"/>
  <c r="AE53" i="2"/>
  <c r="AF53" i="2"/>
  <c r="AG53" i="2"/>
  <c r="AJ53" i="2"/>
  <c r="AK53" i="2"/>
  <c r="AL53" i="2"/>
  <c r="AM53" i="2"/>
  <c r="AI53" i="2"/>
  <c r="AH53" i="2" s="1"/>
  <c r="AE54" i="2"/>
  <c r="AF54" i="2"/>
  <c r="AG54" i="2"/>
  <c r="AJ54" i="2"/>
  <c r="AK54" i="2"/>
  <c r="AL54" i="2"/>
  <c r="AM54" i="2"/>
  <c r="AI54" i="2"/>
  <c r="AH54" i="2" s="1"/>
  <c r="AE29" i="1"/>
  <c r="AF29" i="1"/>
  <c r="AG29" i="1"/>
  <c r="AI29" i="1"/>
  <c r="AJ29" i="1"/>
  <c r="AK29" i="1"/>
  <c r="AL29" i="1"/>
  <c r="AM29" i="1"/>
  <c r="AH29" i="1"/>
  <c r="AE30" i="1"/>
  <c r="AF30" i="1"/>
  <c r="AG30" i="1"/>
  <c r="AI30" i="1"/>
  <c r="AJ30" i="1"/>
  <c r="AK30" i="1"/>
  <c r="AL30" i="1"/>
  <c r="AM30" i="1"/>
  <c r="AH30" i="1"/>
  <c r="V11" i="1"/>
  <c r="AN10" i="1"/>
  <c r="Y5" i="2"/>
  <c r="Z5" i="2" s="1"/>
  <c r="Y49" i="1"/>
  <c r="Z49" i="1" s="1"/>
  <c r="W18" i="4"/>
  <c r="X18" i="4"/>
  <c r="Y32" i="1"/>
  <c r="Z32" i="1" s="1"/>
  <c r="V53" i="1"/>
  <c r="D9" i="13" s="1"/>
  <c r="X34" i="1"/>
  <c r="Y34" i="1"/>
  <c r="Z34" i="1" s="1"/>
  <c r="X35" i="1"/>
  <c r="Y35" i="1"/>
  <c r="Z35" i="1" s="1"/>
  <c r="X36" i="1"/>
  <c r="Y36" i="1"/>
  <c r="Z36" i="1" s="1"/>
  <c r="X33" i="1"/>
  <c r="Y33" i="1"/>
  <c r="Z33" i="1" s="1"/>
  <c r="X31" i="1"/>
  <c r="Y31" i="1"/>
  <c r="Z31" i="1" s="1"/>
  <c r="Y55" i="2"/>
  <c r="Z55" i="2" s="1"/>
  <c r="Y33" i="2"/>
  <c r="Z33" i="2" s="1"/>
  <c r="W56" i="2"/>
  <c r="E10" i="13" s="1"/>
  <c r="Y6" i="4"/>
  <c r="Z6" i="4" s="1"/>
  <c r="Y7" i="4"/>
  <c r="Z7" i="4" s="1"/>
  <c r="Y8" i="4"/>
  <c r="Z8" i="4" s="1"/>
  <c r="Y10" i="4"/>
  <c r="Z10" i="4" s="1"/>
  <c r="Y11" i="4"/>
  <c r="Z11" i="4" s="1"/>
  <c r="Y12" i="4"/>
  <c r="Z12" i="4" s="1"/>
  <c r="Y13" i="4"/>
  <c r="Z13" i="4" s="1"/>
  <c r="Y14" i="4"/>
  <c r="Z14" i="4" s="1"/>
  <c r="Y15" i="4"/>
  <c r="Z15" i="4" s="1"/>
  <c r="Y16" i="4"/>
  <c r="Z16" i="4" s="1"/>
  <c r="Y17" i="4"/>
  <c r="Z17" i="4" s="1"/>
  <c r="E11" i="13"/>
  <c r="Y4" i="11"/>
  <c r="Z4" i="11" s="1"/>
  <c r="Y5" i="11"/>
  <c r="Z5" i="11" s="1"/>
  <c r="Y6" i="11"/>
  <c r="Z6" i="11" s="1"/>
  <c r="Y7" i="11"/>
  <c r="Z7" i="11" s="1"/>
  <c r="Y8" i="11"/>
  <c r="Z8" i="11" s="1"/>
  <c r="Y9" i="11"/>
  <c r="Z9" i="11" s="1"/>
  <c r="Y10" i="11"/>
  <c r="Z10" i="11" s="1"/>
  <c r="Y11" i="11"/>
  <c r="Z11" i="11" s="1"/>
  <c r="Y12" i="11"/>
  <c r="Z12" i="11" s="1"/>
  <c r="Y13" i="11"/>
  <c r="Z13" i="11" s="1"/>
  <c r="Y14" i="11"/>
  <c r="Z14" i="11" s="1"/>
  <c r="Y15" i="11"/>
  <c r="Z15" i="11" s="1"/>
  <c r="Y16" i="11"/>
  <c r="Z16" i="11" s="1"/>
  <c r="Y17" i="11"/>
  <c r="Z17" i="11" s="1"/>
  <c r="Y18" i="11"/>
  <c r="Z18" i="11" s="1"/>
  <c r="Y19" i="11"/>
  <c r="Z19" i="11" s="1"/>
  <c r="Y20" i="11"/>
  <c r="Z20" i="11" s="1"/>
  <c r="Y21" i="11"/>
  <c r="Z21" i="11" s="1"/>
  <c r="Y22" i="11"/>
  <c r="Z22" i="11" s="1"/>
  <c r="Y23" i="11"/>
  <c r="Z23" i="11" s="1"/>
  <c r="Y24" i="11"/>
  <c r="Z24" i="11" s="1"/>
  <c r="Y25" i="11"/>
  <c r="Z25" i="11" s="1"/>
  <c r="Y26" i="11"/>
  <c r="Z26" i="11" s="1"/>
  <c r="Y27" i="11"/>
  <c r="Z27" i="11" s="1"/>
  <c r="Y28" i="11"/>
  <c r="Z28" i="11" s="1"/>
  <c r="Y29" i="11"/>
  <c r="Z29" i="11" s="1"/>
  <c r="Y30" i="11"/>
  <c r="Z30" i="11" s="1"/>
  <c r="Y31" i="11"/>
  <c r="Z31" i="11" s="1"/>
  <c r="Y32" i="11"/>
  <c r="Z32" i="11" s="1"/>
  <c r="X3" i="11"/>
  <c r="W33" i="11"/>
  <c r="E12" i="13" s="1"/>
  <c r="W11" i="1"/>
  <c r="X11" i="1" s="1"/>
  <c r="W3" i="1"/>
  <c r="X3" i="1"/>
  <c r="W8" i="1"/>
  <c r="X8" i="1" s="1"/>
  <c r="W9" i="1"/>
  <c r="X9" i="1" s="1"/>
  <c r="W7" i="1"/>
  <c r="X7" i="1" s="1"/>
  <c r="Y3" i="11"/>
  <c r="Y3" i="4"/>
  <c r="Y39" i="1"/>
  <c r="Z39" i="1" s="1"/>
  <c r="Y11" i="1"/>
  <c r="Z11" i="1" s="1"/>
  <c r="Y9" i="1"/>
  <c r="Z9" i="1" s="1"/>
  <c r="Y17" i="1"/>
  <c r="Z17" i="1" s="1"/>
  <c r="Y15" i="1"/>
  <c r="Z15" i="1" s="1"/>
  <c r="Y47" i="1"/>
  <c r="Z47" i="1" s="1"/>
  <c r="Y46" i="1"/>
  <c r="Z46" i="1" s="1"/>
  <c r="Y37" i="1"/>
  <c r="Z37" i="1" s="1"/>
  <c r="Y18" i="1"/>
  <c r="Z18" i="1" s="1"/>
  <c r="Y8" i="1"/>
  <c r="Z8" i="1" s="1"/>
  <c r="Y43" i="1"/>
  <c r="Z43" i="1" s="1"/>
  <c r="Y24" i="1"/>
  <c r="Z24" i="1" s="1"/>
  <c r="Y7" i="1"/>
  <c r="Z7" i="1" s="1"/>
  <c r="Y14" i="1"/>
  <c r="Z14" i="1" s="1"/>
  <c r="Y5" i="1"/>
  <c r="Z5" i="1" s="1"/>
  <c r="Y25" i="1"/>
  <c r="Z25" i="1" s="1"/>
  <c r="Y12" i="1"/>
  <c r="Z12" i="1" s="1"/>
  <c r="Y38" i="1"/>
  <c r="Z38" i="1" s="1"/>
  <c r="Y16" i="1"/>
  <c r="Z16" i="1" s="1"/>
  <c r="Y6" i="1"/>
  <c r="Z6" i="1" s="1"/>
  <c r="Y48" i="1"/>
  <c r="Z48" i="1" s="1"/>
  <c r="Y40" i="1"/>
  <c r="Z40" i="1" s="1"/>
  <c r="Z53" i="1" s="1"/>
  <c r="Y26" i="1"/>
  <c r="Z26" i="1" s="1"/>
  <c r="Y21" i="1"/>
  <c r="Z21" i="1" s="1"/>
  <c r="Y13" i="1"/>
  <c r="Z13" i="1" s="1"/>
  <c r="Y4" i="1"/>
  <c r="Z4" i="1" s="1"/>
  <c r="Y3" i="1"/>
  <c r="Y42" i="1"/>
  <c r="Z42" i="1" s="1"/>
  <c r="Y41" i="1"/>
  <c r="Z41" i="1" s="1"/>
  <c r="Y52" i="1"/>
  <c r="Z52" i="1" s="1"/>
  <c r="Y51" i="1"/>
  <c r="Z51" i="1" s="1"/>
  <c r="Y22" i="1"/>
  <c r="Z22" i="1" s="1"/>
  <c r="Y50" i="1"/>
  <c r="Z50" i="1" s="1"/>
  <c r="Y23" i="1"/>
  <c r="Z23" i="1" s="1"/>
  <c r="Y27" i="1"/>
  <c r="Z27" i="1" s="1"/>
  <c r="Y44" i="1"/>
  <c r="Z44" i="1" s="1"/>
  <c r="Y45" i="1"/>
  <c r="Z45" i="1" s="1"/>
  <c r="Y20" i="1"/>
  <c r="Z20" i="1" s="1"/>
  <c r="Y19" i="1"/>
  <c r="Z19" i="1" s="1"/>
  <c r="Y28" i="1"/>
  <c r="Z28" i="1" s="1"/>
  <c r="AE17" i="4" l="1"/>
  <c r="AF17" i="4"/>
  <c r="AG17" i="4"/>
  <c r="AJ17" i="4"/>
  <c r="AK17" i="4"/>
  <c r="AL17" i="4"/>
  <c r="AM17" i="4"/>
  <c r="AI17" i="4"/>
  <c r="AH17" i="4" s="1"/>
  <c r="AE16" i="4"/>
  <c r="AF16" i="4"/>
  <c r="AG16" i="4"/>
  <c r="AI16" i="4"/>
  <c r="AJ16" i="4"/>
  <c r="AK16" i="4"/>
  <c r="AL16" i="4"/>
  <c r="AM16" i="4"/>
  <c r="AH16" i="4"/>
  <c r="AE15" i="4"/>
  <c r="AF15" i="4"/>
  <c r="AG15" i="4"/>
  <c r="AJ15" i="4"/>
  <c r="AK15" i="4"/>
  <c r="AL15" i="4"/>
  <c r="AM15" i="4"/>
  <c r="AI15" i="4"/>
  <c r="AH15" i="4" s="1"/>
  <c r="AE14" i="4"/>
  <c r="AF14" i="4"/>
  <c r="AG14" i="4"/>
  <c r="AI14" i="4"/>
  <c r="AJ14" i="4"/>
  <c r="AK14" i="4"/>
  <c r="AL14" i="4"/>
  <c r="AM14" i="4"/>
  <c r="AH14" i="4"/>
  <c r="AE13" i="4"/>
  <c r="AF13" i="4"/>
  <c r="AG13" i="4"/>
  <c r="AI13" i="4"/>
  <c r="AJ13" i="4"/>
  <c r="AK13" i="4"/>
  <c r="AL13" i="4"/>
  <c r="AM13" i="4"/>
  <c r="AH13" i="4"/>
  <c r="AE12" i="4"/>
  <c r="AF12" i="4"/>
  <c r="AG12" i="4"/>
  <c r="AJ12" i="4"/>
  <c r="AK12" i="4"/>
  <c r="AL12" i="4"/>
  <c r="AM12" i="4"/>
  <c r="AI12" i="4"/>
  <c r="AH12" i="4" s="1"/>
  <c r="AE11" i="4"/>
  <c r="AF11" i="4"/>
  <c r="AG11" i="4"/>
  <c r="AJ11" i="4"/>
  <c r="AK11" i="4"/>
  <c r="AL11" i="4"/>
  <c r="AM11" i="4"/>
  <c r="AI11" i="4"/>
  <c r="AH11" i="4" s="1"/>
  <c r="AE10" i="4"/>
  <c r="AF10" i="4"/>
  <c r="AG10" i="4"/>
  <c r="AJ10" i="4"/>
  <c r="AK10" i="4"/>
  <c r="AL10" i="4"/>
  <c r="AM10" i="4"/>
  <c r="AI10" i="4"/>
  <c r="AH10" i="4" s="1"/>
  <c r="AE8" i="4"/>
  <c r="AF8" i="4"/>
  <c r="AG8" i="4"/>
  <c r="AJ8" i="4"/>
  <c r="AK8" i="4"/>
  <c r="AL8" i="4"/>
  <c r="AM8" i="4"/>
  <c r="AI8" i="4"/>
  <c r="AH8" i="4" s="1"/>
  <c r="AE7" i="4"/>
  <c r="AF7" i="4"/>
  <c r="AG7" i="4"/>
  <c r="AJ7" i="4"/>
  <c r="AK7" i="4"/>
  <c r="AL7" i="4"/>
  <c r="AM7" i="4"/>
  <c r="AI7" i="4"/>
  <c r="AH7" i="4" s="1"/>
  <c r="AE6" i="4"/>
  <c r="AF6" i="4"/>
  <c r="AG6" i="4"/>
  <c r="AJ6" i="4"/>
  <c r="AK6" i="4"/>
  <c r="AL6" i="4"/>
  <c r="AM6" i="4"/>
  <c r="AI6" i="4"/>
  <c r="AH6" i="4" s="1"/>
  <c r="D14" i="13"/>
  <c r="AE28" i="1"/>
  <c r="AF28" i="1"/>
  <c r="AG28" i="1"/>
  <c r="AJ28" i="1"/>
  <c r="AK28" i="1"/>
  <c r="AL28" i="1"/>
  <c r="AM28" i="1"/>
  <c r="AI28" i="1"/>
  <c r="AH28" i="1" s="1"/>
  <c r="AE19" i="1"/>
  <c r="AF19" i="1"/>
  <c r="AG19" i="1"/>
  <c r="AJ19" i="1"/>
  <c r="AK19" i="1"/>
  <c r="AL19" i="1"/>
  <c r="AM19" i="1"/>
  <c r="AI19" i="1"/>
  <c r="AH19" i="1" s="1"/>
  <c r="AE20" i="1"/>
  <c r="AF20" i="1"/>
  <c r="AG20" i="1"/>
  <c r="AJ20" i="1"/>
  <c r="AK20" i="1"/>
  <c r="AL20" i="1"/>
  <c r="AM20" i="1"/>
  <c r="AI20" i="1"/>
  <c r="AH20" i="1" s="1"/>
  <c r="AE45" i="1"/>
  <c r="AF45" i="1"/>
  <c r="AG45" i="1"/>
  <c r="AJ45" i="1"/>
  <c r="AK45" i="1"/>
  <c r="AL45" i="1"/>
  <c r="AM45" i="1"/>
  <c r="AI45" i="1"/>
  <c r="AH45" i="1" s="1"/>
  <c r="AE44" i="1"/>
  <c r="AF44" i="1"/>
  <c r="AG44" i="1"/>
  <c r="AI44" i="1"/>
  <c r="AJ44" i="1"/>
  <c r="AK44" i="1"/>
  <c r="AL44" i="1"/>
  <c r="AM44" i="1"/>
  <c r="AH44" i="1"/>
  <c r="AE27" i="1"/>
  <c r="AF27" i="1"/>
  <c r="AG27" i="1"/>
  <c r="AI27" i="1"/>
  <c r="AJ27" i="1"/>
  <c r="AK27" i="1"/>
  <c r="AL27" i="1"/>
  <c r="AM27" i="1"/>
  <c r="AH27" i="1"/>
  <c r="AE23" i="1"/>
  <c r="AF23" i="1"/>
  <c r="AG23" i="1"/>
  <c r="AI23" i="1"/>
  <c r="AJ23" i="1"/>
  <c r="AK23" i="1"/>
  <c r="AL23" i="1"/>
  <c r="AM23" i="1"/>
  <c r="AE50" i="1"/>
  <c r="AF50" i="1"/>
  <c r="AG50" i="1"/>
  <c r="AI50" i="1"/>
  <c r="AJ50" i="1"/>
  <c r="AK50" i="1"/>
  <c r="AL50" i="1"/>
  <c r="AM50" i="1"/>
  <c r="AH50" i="1"/>
  <c r="AE22" i="1"/>
  <c r="AF22" i="1"/>
  <c r="AG22" i="1"/>
  <c r="AI22" i="1"/>
  <c r="AJ22" i="1"/>
  <c r="AK22" i="1"/>
  <c r="AL22" i="1"/>
  <c r="AM22" i="1"/>
  <c r="AH22" i="1"/>
  <c r="AE51" i="1"/>
  <c r="AF51" i="1"/>
  <c r="AG51" i="1"/>
  <c r="AI51" i="1"/>
  <c r="AJ51" i="1"/>
  <c r="AK51" i="1"/>
  <c r="AL51" i="1"/>
  <c r="AM51" i="1"/>
  <c r="AH51" i="1"/>
  <c r="AE52" i="1"/>
  <c r="AF52" i="1"/>
  <c r="AG52" i="1"/>
  <c r="AI52" i="1"/>
  <c r="AJ52" i="1"/>
  <c r="AK52" i="1"/>
  <c r="AL52" i="1"/>
  <c r="AM52" i="1"/>
  <c r="AH52" i="1"/>
  <c r="AE41" i="1"/>
  <c r="AF41" i="1"/>
  <c r="AG41" i="1"/>
  <c r="AJ41" i="1"/>
  <c r="AK41" i="1"/>
  <c r="AL41" i="1"/>
  <c r="AM41" i="1"/>
  <c r="AI41" i="1"/>
  <c r="AH41" i="1" s="1"/>
  <c r="AE42" i="1"/>
  <c r="AF42" i="1"/>
  <c r="AG42" i="1"/>
  <c r="AI42" i="1"/>
  <c r="AJ42" i="1"/>
  <c r="AK42" i="1"/>
  <c r="AL42" i="1"/>
  <c r="AM42" i="1"/>
  <c r="AH42" i="1"/>
  <c r="AE4" i="1"/>
  <c r="AF4" i="1"/>
  <c r="AG4" i="1"/>
  <c r="AI4" i="1"/>
  <c r="AJ4" i="1"/>
  <c r="AK4" i="1"/>
  <c r="AL4" i="1"/>
  <c r="AM4" i="1"/>
  <c r="AH4" i="1"/>
  <c r="AE13" i="1"/>
  <c r="AF13" i="1"/>
  <c r="AG13" i="1"/>
  <c r="AH13" i="1"/>
  <c r="AJ13" i="1"/>
  <c r="AK13" i="1"/>
  <c r="AL13" i="1"/>
  <c r="AM13" i="1"/>
  <c r="AI13" i="1"/>
  <c r="AE21" i="1"/>
  <c r="AF21" i="1"/>
  <c r="AG21" i="1"/>
  <c r="AI21" i="1"/>
  <c r="AJ21" i="1"/>
  <c r="AK21" i="1"/>
  <c r="AL21" i="1"/>
  <c r="AM21" i="1"/>
  <c r="AH21" i="1"/>
  <c r="AE26" i="1"/>
  <c r="AF26" i="1"/>
  <c r="AG26" i="1"/>
  <c r="AI26" i="1"/>
  <c r="AJ26" i="1"/>
  <c r="AK26" i="1"/>
  <c r="AL26" i="1"/>
  <c r="AM26" i="1"/>
  <c r="AH26" i="1"/>
  <c r="AE40" i="1"/>
  <c r="AF40" i="1"/>
  <c r="AG40" i="1"/>
  <c r="AI40" i="1"/>
  <c r="AJ40" i="1"/>
  <c r="AK40" i="1"/>
  <c r="AL40" i="1"/>
  <c r="AM40" i="1"/>
  <c r="AH40" i="1"/>
  <c r="AE48" i="1"/>
  <c r="AF48" i="1"/>
  <c r="AG48" i="1"/>
  <c r="AJ48" i="1"/>
  <c r="AK48" i="1"/>
  <c r="AL48" i="1"/>
  <c r="AM48" i="1"/>
  <c r="AI48" i="1"/>
  <c r="AH48" i="1" s="1"/>
  <c r="AE6" i="1"/>
  <c r="AF6" i="1"/>
  <c r="AG6" i="1"/>
  <c r="AI6" i="1"/>
  <c r="AJ6" i="1"/>
  <c r="AK6" i="1"/>
  <c r="AL6" i="1"/>
  <c r="AM6" i="1"/>
  <c r="AH6" i="1"/>
  <c r="AE16" i="1"/>
  <c r="AF16" i="1"/>
  <c r="AG16" i="1"/>
  <c r="AH16" i="1"/>
  <c r="AJ16" i="1"/>
  <c r="AK16" i="1"/>
  <c r="AL16" i="1"/>
  <c r="AM16" i="1"/>
  <c r="AI16" i="1"/>
  <c r="AE38" i="1"/>
  <c r="AF38" i="1"/>
  <c r="AG38" i="1"/>
  <c r="AI38" i="1"/>
  <c r="AJ38" i="1"/>
  <c r="AK38" i="1"/>
  <c r="AL38" i="1"/>
  <c r="AM38" i="1"/>
  <c r="AH38" i="1"/>
  <c r="AE12" i="1"/>
  <c r="AF12" i="1"/>
  <c r="AG12" i="1"/>
  <c r="AH12" i="1"/>
  <c r="AJ12" i="1"/>
  <c r="AK12" i="1"/>
  <c r="AL12" i="1"/>
  <c r="AM12" i="1"/>
  <c r="AI12" i="1"/>
  <c r="AE25" i="1"/>
  <c r="AF25" i="1"/>
  <c r="AG25" i="1"/>
  <c r="AI25" i="1"/>
  <c r="AJ25" i="1"/>
  <c r="AK25" i="1"/>
  <c r="AL25" i="1"/>
  <c r="AM25" i="1"/>
  <c r="AH25" i="1"/>
  <c r="AE5" i="1"/>
  <c r="AF5" i="1"/>
  <c r="AG5" i="1"/>
  <c r="AH5" i="1"/>
  <c r="AJ5" i="1"/>
  <c r="AK5" i="1"/>
  <c r="AL5" i="1"/>
  <c r="AM5" i="1"/>
  <c r="AI5" i="1"/>
  <c r="AE14" i="1"/>
  <c r="AF14" i="1"/>
  <c r="AG14" i="1"/>
  <c r="AH14" i="1"/>
  <c r="AJ14" i="1"/>
  <c r="AK14" i="1"/>
  <c r="AL14" i="1"/>
  <c r="AM14" i="1"/>
  <c r="AI14" i="1"/>
  <c r="AE7" i="1"/>
  <c r="AF7" i="1"/>
  <c r="AG7" i="1"/>
  <c r="AJ7" i="1"/>
  <c r="AK7" i="1"/>
  <c r="AL7" i="1"/>
  <c r="AM7" i="1"/>
  <c r="AI7" i="1"/>
  <c r="AH7" i="1" s="1"/>
  <c r="AE24" i="1"/>
  <c r="AF24" i="1"/>
  <c r="AG24" i="1"/>
  <c r="AI24" i="1"/>
  <c r="AJ24" i="1"/>
  <c r="AK24" i="1"/>
  <c r="AL24" i="1"/>
  <c r="AM24" i="1"/>
  <c r="AE43" i="1"/>
  <c r="AF43" i="1"/>
  <c r="AG43" i="1"/>
  <c r="AJ43" i="1"/>
  <c r="AK43" i="1"/>
  <c r="AL43" i="1"/>
  <c r="AM43" i="1"/>
  <c r="AI43" i="1"/>
  <c r="AH43" i="1" s="1"/>
  <c r="AE8" i="1"/>
  <c r="AF8" i="1"/>
  <c r="AG8" i="1"/>
  <c r="AJ8" i="1"/>
  <c r="AK8" i="1"/>
  <c r="AL8" i="1"/>
  <c r="AM8" i="1"/>
  <c r="AI8" i="1"/>
  <c r="AH8" i="1" s="1"/>
  <c r="AE18" i="1"/>
  <c r="AF18" i="1"/>
  <c r="AG18" i="1"/>
  <c r="AH18" i="1"/>
  <c r="AJ18" i="1"/>
  <c r="AK18" i="1"/>
  <c r="AL18" i="1"/>
  <c r="AM18" i="1"/>
  <c r="AI18" i="1"/>
  <c r="AE37" i="1"/>
  <c r="AF37" i="1"/>
  <c r="AG37" i="1"/>
  <c r="AJ37" i="1"/>
  <c r="AK37" i="1"/>
  <c r="AL37" i="1"/>
  <c r="AM37" i="1"/>
  <c r="AI37" i="1"/>
  <c r="AH37" i="1" s="1"/>
  <c r="AE46" i="1"/>
  <c r="AF46" i="1"/>
  <c r="AG46" i="1"/>
  <c r="AI46" i="1"/>
  <c r="AJ46" i="1"/>
  <c r="AK46" i="1"/>
  <c r="AL46" i="1"/>
  <c r="AM46" i="1"/>
  <c r="AH46" i="1"/>
  <c r="AE47" i="1"/>
  <c r="AF47" i="1"/>
  <c r="AG47" i="1"/>
  <c r="AI47" i="1"/>
  <c r="AJ47" i="1"/>
  <c r="AK47" i="1"/>
  <c r="AL47" i="1"/>
  <c r="AM47" i="1"/>
  <c r="AH47" i="1"/>
  <c r="AE15" i="1"/>
  <c r="AF15" i="1"/>
  <c r="AG15" i="1"/>
  <c r="AH15" i="1"/>
  <c r="AJ15" i="1"/>
  <c r="AK15" i="1"/>
  <c r="AL15" i="1"/>
  <c r="AM15" i="1"/>
  <c r="AI15" i="1"/>
  <c r="AE17" i="1"/>
  <c r="AF17" i="1"/>
  <c r="AG17" i="1"/>
  <c r="AH17" i="1"/>
  <c r="AJ17" i="1"/>
  <c r="AK17" i="1"/>
  <c r="AL17" i="1"/>
  <c r="AM17" i="1"/>
  <c r="AI17" i="1"/>
  <c r="AE9" i="1"/>
  <c r="AF9" i="1"/>
  <c r="AG9" i="1"/>
  <c r="AJ9" i="1"/>
  <c r="AK9" i="1"/>
  <c r="AL9" i="1"/>
  <c r="AM9" i="1"/>
  <c r="AI9" i="1"/>
  <c r="AH9" i="1" s="1"/>
  <c r="AE11" i="1"/>
  <c r="AF11" i="1"/>
  <c r="AG11" i="1"/>
  <c r="AH11" i="1"/>
  <c r="AJ11" i="1"/>
  <c r="AK11" i="1"/>
  <c r="AL11" i="1"/>
  <c r="AM11" i="1"/>
  <c r="AI11" i="1"/>
  <c r="AE39" i="1"/>
  <c r="AF39" i="1"/>
  <c r="AG39" i="1"/>
  <c r="AI39" i="1"/>
  <c r="AJ39" i="1"/>
  <c r="AK39" i="1"/>
  <c r="AL39" i="1"/>
  <c r="AM39" i="1"/>
  <c r="AH39" i="1"/>
  <c r="AE33" i="2"/>
  <c r="AF33" i="2"/>
  <c r="AG33" i="2"/>
  <c r="AJ33" i="2"/>
  <c r="AK33" i="2"/>
  <c r="AL33" i="2"/>
  <c r="AM33" i="2"/>
  <c r="AI33" i="2"/>
  <c r="AH33" i="2" s="1"/>
  <c r="AE55" i="2"/>
  <c r="AF55" i="2"/>
  <c r="AG55" i="2"/>
  <c r="AJ55" i="2"/>
  <c r="AK55" i="2"/>
  <c r="AL55" i="2"/>
  <c r="AM55" i="2"/>
  <c r="AI55" i="2"/>
  <c r="AH55" i="2" s="1"/>
  <c r="AE31" i="1"/>
  <c r="AF31" i="1"/>
  <c r="AG31" i="1"/>
  <c r="AJ31" i="1"/>
  <c r="AK31" i="1"/>
  <c r="AL31" i="1"/>
  <c r="AM31" i="1"/>
  <c r="AI31" i="1"/>
  <c r="AH31" i="1" s="1"/>
  <c r="AE33" i="1"/>
  <c r="AF33" i="1"/>
  <c r="AG33" i="1"/>
  <c r="AJ33" i="1"/>
  <c r="AK33" i="1"/>
  <c r="AL33" i="1"/>
  <c r="AM33" i="1"/>
  <c r="AI33" i="1"/>
  <c r="AH33" i="1" s="1"/>
  <c r="AE36" i="1"/>
  <c r="AF36" i="1"/>
  <c r="AG36" i="1"/>
  <c r="AJ36" i="1"/>
  <c r="AK36" i="1"/>
  <c r="AL36" i="1"/>
  <c r="AM36" i="1"/>
  <c r="AI36" i="1"/>
  <c r="AH36" i="1" s="1"/>
  <c r="AE35" i="1"/>
  <c r="AF35" i="1"/>
  <c r="AG35" i="1"/>
  <c r="AJ35" i="1"/>
  <c r="AK35" i="1"/>
  <c r="AL35" i="1"/>
  <c r="AM35" i="1"/>
  <c r="AI35" i="1"/>
  <c r="AH35" i="1" s="1"/>
  <c r="AE34" i="1"/>
  <c r="AF34" i="1"/>
  <c r="AG34" i="1"/>
  <c r="AJ34" i="1"/>
  <c r="AK34" i="1"/>
  <c r="AL34" i="1"/>
  <c r="AM34" i="1"/>
  <c r="AI34" i="1"/>
  <c r="AH34" i="1" s="1"/>
  <c r="AE32" i="1"/>
  <c r="AF32" i="1"/>
  <c r="AG32" i="1"/>
  <c r="AJ32" i="1"/>
  <c r="AK32" i="1"/>
  <c r="AL32" i="1"/>
  <c r="AM32" i="1"/>
  <c r="AI32" i="1"/>
  <c r="AH32" i="1" s="1"/>
  <c r="AE49" i="1"/>
  <c r="AF49" i="1"/>
  <c r="AG49" i="1"/>
  <c r="AJ49" i="1"/>
  <c r="AK49" i="1"/>
  <c r="AL49" i="1"/>
  <c r="AM49" i="1"/>
  <c r="AI49" i="1"/>
  <c r="AH49" i="1" s="1"/>
  <c r="AE5" i="2"/>
  <c r="AF5" i="2"/>
  <c r="AG5" i="2"/>
  <c r="AJ5" i="2"/>
  <c r="AK5" i="2"/>
  <c r="AL5" i="2"/>
  <c r="AM5" i="2"/>
  <c r="AI5" i="2"/>
  <c r="AH5" i="2" s="1"/>
  <c r="AE32" i="11"/>
  <c r="AF32" i="11"/>
  <c r="AG32" i="11"/>
  <c r="AJ32" i="11"/>
  <c r="AK32" i="11"/>
  <c r="AL32" i="11"/>
  <c r="AM32" i="11"/>
  <c r="AI32" i="11"/>
  <c r="AH32" i="11" s="1"/>
  <c r="AE31" i="11"/>
  <c r="AF31" i="11"/>
  <c r="AG31" i="11"/>
  <c r="AJ31" i="11"/>
  <c r="AK31" i="11"/>
  <c r="AL31" i="11"/>
  <c r="AM31" i="11"/>
  <c r="AI31" i="11"/>
  <c r="AH31" i="11" s="1"/>
  <c r="AE30" i="11"/>
  <c r="AF30" i="11"/>
  <c r="AG30" i="11"/>
  <c r="AJ30" i="11"/>
  <c r="AK30" i="11"/>
  <c r="AL30" i="11"/>
  <c r="AM30" i="11"/>
  <c r="AI30" i="11"/>
  <c r="AH30" i="11" s="1"/>
  <c r="AE29" i="11"/>
  <c r="AF29" i="11"/>
  <c r="AG29" i="11"/>
  <c r="AJ29" i="11"/>
  <c r="AK29" i="11"/>
  <c r="AL29" i="11"/>
  <c r="AM29" i="11"/>
  <c r="AI29" i="11"/>
  <c r="AH29" i="11" s="1"/>
  <c r="AE28" i="11"/>
  <c r="AF28" i="11"/>
  <c r="AG28" i="11"/>
  <c r="AJ28" i="11"/>
  <c r="AK28" i="11"/>
  <c r="AL28" i="11"/>
  <c r="AM28" i="11"/>
  <c r="AI28" i="11"/>
  <c r="AH28" i="11" s="1"/>
  <c r="AE27" i="11"/>
  <c r="AF27" i="11"/>
  <c r="AG27" i="11"/>
  <c r="AJ27" i="11"/>
  <c r="AK27" i="11"/>
  <c r="AL27" i="11"/>
  <c r="AM27" i="11"/>
  <c r="AI27" i="11"/>
  <c r="AH27" i="11" s="1"/>
  <c r="AE26" i="11"/>
  <c r="AF26" i="11"/>
  <c r="AG26" i="11"/>
  <c r="AJ26" i="11"/>
  <c r="AK26" i="11"/>
  <c r="AL26" i="11"/>
  <c r="AM26" i="11"/>
  <c r="AI26" i="11"/>
  <c r="AH26" i="11" s="1"/>
  <c r="AE25" i="11"/>
  <c r="AF25" i="11"/>
  <c r="AG25" i="11"/>
  <c r="AJ25" i="11"/>
  <c r="AK25" i="11"/>
  <c r="AL25" i="11"/>
  <c r="AM25" i="11"/>
  <c r="AI25" i="11"/>
  <c r="AH25" i="11" s="1"/>
  <c r="AE24" i="11"/>
  <c r="AF24" i="11"/>
  <c r="AG24" i="11"/>
  <c r="AJ24" i="11"/>
  <c r="AK24" i="11"/>
  <c r="AL24" i="11"/>
  <c r="AM24" i="11"/>
  <c r="AI24" i="11"/>
  <c r="AH24" i="11" s="1"/>
  <c r="AE23" i="11"/>
  <c r="AF23" i="11"/>
  <c r="AG23" i="11"/>
  <c r="AJ23" i="11"/>
  <c r="AK23" i="11"/>
  <c r="AL23" i="11"/>
  <c r="AM23" i="11"/>
  <c r="AI23" i="11"/>
  <c r="AH23" i="11" s="1"/>
  <c r="AE22" i="11"/>
  <c r="AF22" i="11"/>
  <c r="AG22" i="11"/>
  <c r="AJ22" i="11"/>
  <c r="AK22" i="11"/>
  <c r="AL22" i="11"/>
  <c r="AM22" i="11"/>
  <c r="AI22" i="11"/>
  <c r="AH22" i="11" s="1"/>
  <c r="AE21" i="11"/>
  <c r="AF21" i="11"/>
  <c r="AG21" i="11"/>
  <c r="AJ21" i="11"/>
  <c r="AK21" i="11"/>
  <c r="AL21" i="11"/>
  <c r="AM21" i="11"/>
  <c r="AI21" i="11"/>
  <c r="AH21" i="11" s="1"/>
  <c r="AE20" i="11"/>
  <c r="AF20" i="11"/>
  <c r="AG20" i="11"/>
  <c r="AJ20" i="11"/>
  <c r="AK20" i="11"/>
  <c r="AL20" i="11"/>
  <c r="AM20" i="11"/>
  <c r="AI20" i="11"/>
  <c r="AH20" i="11" s="1"/>
  <c r="AE19" i="11"/>
  <c r="AF19" i="11"/>
  <c r="AG19" i="11"/>
  <c r="AJ19" i="11"/>
  <c r="AK19" i="11"/>
  <c r="AL19" i="11"/>
  <c r="AM19" i="11"/>
  <c r="AI19" i="11"/>
  <c r="AH19" i="11" s="1"/>
  <c r="AE18" i="11"/>
  <c r="AF18" i="11"/>
  <c r="AG18" i="11"/>
  <c r="AJ18" i="11"/>
  <c r="AK18" i="11"/>
  <c r="AL18" i="11"/>
  <c r="AM18" i="11"/>
  <c r="AI18" i="11"/>
  <c r="AH18" i="11" s="1"/>
  <c r="AE17" i="11"/>
  <c r="AF17" i="11"/>
  <c r="AG17" i="11"/>
  <c r="AJ17" i="11"/>
  <c r="AK17" i="11"/>
  <c r="AL17" i="11"/>
  <c r="AM17" i="11"/>
  <c r="AI17" i="11"/>
  <c r="AH17" i="11" s="1"/>
  <c r="AE16" i="11"/>
  <c r="AF16" i="11"/>
  <c r="AG16" i="11"/>
  <c r="AJ16" i="11"/>
  <c r="AK16" i="11"/>
  <c r="AL16" i="11"/>
  <c r="AM16" i="11"/>
  <c r="AI16" i="11"/>
  <c r="AH16" i="11" s="1"/>
  <c r="AE15" i="11"/>
  <c r="AF15" i="11"/>
  <c r="AG15" i="11"/>
  <c r="AJ15" i="11"/>
  <c r="AK15" i="11"/>
  <c r="AL15" i="11"/>
  <c r="AM15" i="11"/>
  <c r="AI15" i="11"/>
  <c r="AH15" i="11" s="1"/>
  <c r="AE14" i="11"/>
  <c r="AF14" i="11"/>
  <c r="AG14" i="11"/>
  <c r="AJ14" i="11"/>
  <c r="AK14" i="11"/>
  <c r="AL14" i="11"/>
  <c r="AM14" i="11"/>
  <c r="AI14" i="11"/>
  <c r="AH14" i="11" s="1"/>
  <c r="AE13" i="11"/>
  <c r="AF13" i="11"/>
  <c r="AG13" i="11"/>
  <c r="AJ13" i="11"/>
  <c r="AK13" i="11"/>
  <c r="AL13" i="11"/>
  <c r="AM13" i="11"/>
  <c r="AI13" i="11"/>
  <c r="AH13" i="11" s="1"/>
  <c r="AE12" i="11"/>
  <c r="AF12" i="11"/>
  <c r="AG12" i="11"/>
  <c r="AJ12" i="11"/>
  <c r="AK12" i="11"/>
  <c r="AL12" i="11"/>
  <c r="AM12" i="11"/>
  <c r="AI12" i="11"/>
  <c r="AH12" i="11" s="1"/>
  <c r="AE11" i="11"/>
  <c r="AF11" i="11"/>
  <c r="AG11" i="11"/>
  <c r="AJ11" i="11"/>
  <c r="AK11" i="11"/>
  <c r="AL11" i="11"/>
  <c r="AM11" i="11"/>
  <c r="AI11" i="11"/>
  <c r="AH11" i="11" s="1"/>
  <c r="AE10" i="11"/>
  <c r="AF10" i="11"/>
  <c r="AG10" i="11"/>
  <c r="AJ10" i="11"/>
  <c r="AK10" i="11"/>
  <c r="AL10" i="11"/>
  <c r="AM10" i="11"/>
  <c r="AI10" i="11"/>
  <c r="AH10" i="11" s="1"/>
  <c r="AE9" i="11"/>
  <c r="AF9" i="11"/>
  <c r="AG9" i="11"/>
  <c r="AJ9" i="11"/>
  <c r="AK9" i="11"/>
  <c r="AL9" i="11"/>
  <c r="AM9" i="11"/>
  <c r="AI9" i="11"/>
  <c r="AH9" i="11" s="1"/>
  <c r="AE8" i="11"/>
  <c r="AF8" i="11"/>
  <c r="AG8" i="11"/>
  <c r="AJ8" i="11"/>
  <c r="AK8" i="11"/>
  <c r="AL8" i="11"/>
  <c r="AM8" i="11"/>
  <c r="AI8" i="11"/>
  <c r="AH8" i="11" s="1"/>
  <c r="AE7" i="11"/>
  <c r="AF7" i="11"/>
  <c r="AG7" i="11"/>
  <c r="AJ7" i="11"/>
  <c r="AK7" i="11"/>
  <c r="AL7" i="11"/>
  <c r="AM7" i="11"/>
  <c r="AI7" i="11"/>
  <c r="AH7" i="11" s="1"/>
  <c r="AE6" i="11"/>
  <c r="AF6" i="11"/>
  <c r="AG6" i="11"/>
  <c r="AJ6" i="11"/>
  <c r="AK6" i="11"/>
  <c r="AL6" i="11"/>
  <c r="AM6" i="11"/>
  <c r="AI6" i="11"/>
  <c r="AH6" i="11" s="1"/>
  <c r="AE5" i="11"/>
  <c r="AF5" i="11"/>
  <c r="AG5" i="11"/>
  <c r="AJ5" i="11"/>
  <c r="AK5" i="11"/>
  <c r="AL5" i="11"/>
  <c r="AM5" i="11"/>
  <c r="AI5" i="11"/>
  <c r="AH5" i="11" s="1"/>
  <c r="AE4" i="11"/>
  <c r="AF4" i="11"/>
  <c r="AG4" i="11"/>
  <c r="AJ4" i="11"/>
  <c r="AK4" i="11"/>
  <c r="AL4" i="11"/>
  <c r="AM4" i="11"/>
  <c r="AI4" i="11"/>
  <c r="AH4" i="11" s="1"/>
  <c r="AN30" i="1"/>
  <c r="AN29" i="1"/>
  <c r="Z3" i="1"/>
  <c r="X33" i="11"/>
  <c r="F12" i="13"/>
  <c r="Y33" i="11"/>
  <c r="G12" i="13" s="1"/>
  <c r="H12" i="13" s="1"/>
  <c r="Z3" i="11"/>
  <c r="Z33" i="11" s="1"/>
  <c r="Y53" i="1"/>
  <c r="X53" i="1"/>
  <c r="F9" i="13" s="1"/>
  <c r="W53" i="1"/>
  <c r="E9" i="13" s="1"/>
  <c r="X56" i="2"/>
  <c r="F10" i="13" s="1"/>
  <c r="Y3" i="2"/>
  <c r="F8" i="12"/>
  <c r="F7" i="12"/>
  <c r="F6" i="12"/>
  <c r="F5" i="12"/>
  <c r="F4" i="12"/>
  <c r="F3" i="12"/>
  <c r="F9" i="12" s="1"/>
  <c r="C8" i="12"/>
  <c r="C7" i="12"/>
  <c r="C6" i="12"/>
  <c r="C5" i="12"/>
  <c r="C4" i="12"/>
  <c r="C3" i="12"/>
  <c r="D9" i="12"/>
  <c r="E14" i="13" l="1"/>
  <c r="AM3" i="1"/>
  <c r="AM53" i="1" s="1"/>
  <c r="AL3" i="1"/>
  <c r="AL53" i="1" s="1"/>
  <c r="AK3" i="1"/>
  <c r="AK53" i="1" s="1"/>
  <c r="AJ3" i="1"/>
  <c r="AJ53" i="1" s="1"/>
  <c r="AG3" i="1"/>
  <c r="AF3" i="1"/>
  <c r="AE3" i="1"/>
  <c r="AE3" i="11"/>
  <c r="AF3" i="11"/>
  <c r="AG3" i="11"/>
  <c r="AJ3" i="11"/>
  <c r="AK3" i="11"/>
  <c r="AL3" i="11"/>
  <c r="AM3" i="11"/>
  <c r="AI3" i="11"/>
  <c r="AH3" i="11" s="1"/>
  <c r="AN49" i="1"/>
  <c r="AN32" i="1"/>
  <c r="AN34" i="1"/>
  <c r="AN35" i="1"/>
  <c r="AN36" i="1"/>
  <c r="AN33" i="1"/>
  <c r="AN31" i="1"/>
  <c r="AN39" i="1"/>
  <c r="AN11" i="1"/>
  <c r="AN9" i="1"/>
  <c r="AN17" i="1"/>
  <c r="AN15" i="1"/>
  <c r="AN47" i="1"/>
  <c r="AN46" i="1"/>
  <c r="AN37" i="1"/>
  <c r="AN18" i="1"/>
  <c r="AN8" i="1"/>
  <c r="AN43" i="1"/>
  <c r="AN24" i="1"/>
  <c r="AN7" i="1"/>
  <c r="AN14" i="1"/>
  <c r="AN5" i="1"/>
  <c r="AN25" i="1"/>
  <c r="AN12" i="1"/>
  <c r="AN38" i="1"/>
  <c r="AN16" i="1"/>
  <c r="AN6" i="1"/>
  <c r="AN48" i="1"/>
  <c r="AN40" i="1"/>
  <c r="AN26" i="1"/>
  <c r="AN21" i="1"/>
  <c r="AN13" i="1"/>
  <c r="AN4" i="1"/>
  <c r="AN42" i="1"/>
  <c r="AN41" i="1"/>
  <c r="AN52" i="1"/>
  <c r="AN51" i="1"/>
  <c r="AN22" i="1"/>
  <c r="AN50" i="1"/>
  <c r="AN23" i="1"/>
  <c r="AN27" i="1"/>
  <c r="AN44" i="1"/>
  <c r="AN45" i="1"/>
  <c r="AN20" i="1"/>
  <c r="AN19" i="1"/>
  <c r="AN28" i="1"/>
  <c r="Z3" i="2"/>
  <c r="G9" i="13"/>
  <c r="Y56" i="2"/>
  <c r="G10" i="13" s="1"/>
  <c r="H10" i="13" s="1"/>
  <c r="E4" i="12"/>
  <c r="E5" i="12"/>
  <c r="E6" i="12"/>
  <c r="E7" i="12"/>
  <c r="E8" i="12"/>
  <c r="E3" i="12"/>
  <c r="C9" i="12"/>
  <c r="G9" i="12" s="1"/>
  <c r="H9" i="13" l="1"/>
  <c r="AF53" i="1"/>
  <c r="AG53" i="1"/>
  <c r="AE3" i="2"/>
  <c r="AF3" i="2"/>
  <c r="AG3" i="2"/>
  <c r="AJ3" i="2"/>
  <c r="AK3" i="2"/>
  <c r="AL3" i="2"/>
  <c r="AM3" i="2"/>
  <c r="AI3" i="2"/>
  <c r="AH3" i="2" s="1"/>
  <c r="AE53" i="1"/>
  <c r="AI3" i="1"/>
  <c r="AI53" i="1" s="1"/>
  <c r="AH3" i="1"/>
  <c r="D2" i="10"/>
  <c r="C4" i="10"/>
  <c r="D4" i="10" s="1"/>
  <c r="C3" i="10"/>
  <c r="D3" i="10" s="1"/>
  <c r="D5" i="10" s="1"/>
  <c r="D6" i="10" s="1"/>
  <c r="AH53" i="1" l="1"/>
  <c r="AN3" i="1"/>
  <c r="Y5" i="4"/>
  <c r="Z5" i="4" s="1"/>
  <c r="Y18" i="4"/>
  <c r="F11" i="13"/>
  <c r="AE5" i="4" l="1"/>
  <c r="AF5" i="4"/>
  <c r="AG5" i="4"/>
  <c r="AJ5" i="4"/>
  <c r="AK5" i="4"/>
  <c r="AL5" i="4"/>
  <c r="AM5" i="4"/>
  <c r="AI5" i="4"/>
  <c r="AH5" i="4" s="1"/>
  <c r="F14" i="13"/>
  <c r="G11" i="13"/>
  <c r="G14" i="13" l="1"/>
  <c r="H11" i="13"/>
  <c r="H14" i="13" l="1"/>
</calcChain>
</file>

<file path=xl/sharedStrings.xml><?xml version="1.0" encoding="utf-8"?>
<sst xmlns="http://schemas.openxmlformats.org/spreadsheetml/2006/main" count="1039" uniqueCount="471">
  <si>
    <t>Most-likely</t>
  </si>
  <si>
    <t>Face value</t>
  </si>
  <si>
    <t>Optimistic</t>
  </si>
  <si>
    <t>Might take lesser effort</t>
  </si>
  <si>
    <t>Pessimistic</t>
  </si>
  <si>
    <t>Might take more effort</t>
  </si>
  <si>
    <t>Calculated Man-Days</t>
  </si>
  <si>
    <t>Calibrated estimate</t>
  </si>
  <si>
    <t>MAN-DAYS</t>
  </si>
  <si>
    <t># of Epics</t>
  </si>
  <si>
    <t>Product</t>
  </si>
  <si>
    <t>Most-likely Man-days</t>
  </si>
  <si>
    <t>TK Approved</t>
  </si>
  <si>
    <t>OmniConnect</t>
  </si>
  <si>
    <t>Fintech Fuel</t>
  </si>
  <si>
    <t>OmniChat</t>
  </si>
  <si>
    <t>Digital Log</t>
  </si>
  <si>
    <t>Support (3 person)</t>
  </si>
  <si>
    <t>Total</t>
  </si>
  <si>
    <t>OmniConnect Roadmap Items</t>
  </si>
  <si>
    <t>BHW</t>
  </si>
  <si>
    <t>TK</t>
  </si>
  <si>
    <t>AA</t>
  </si>
  <si>
    <t>TS</t>
  </si>
  <si>
    <t>RnD Most likely</t>
  </si>
  <si>
    <t>TK Budgeted</t>
  </si>
  <si>
    <t>`=($Y3-($M3+$T3+$Q3)) * (SUBSTITUTE(MID(AH$2, SEARCH("(", AH$2) + 1, 5), "%)", "") / 100)</t>
  </si>
  <si>
    <t>Sr #</t>
  </si>
  <si>
    <t>Category</t>
  </si>
  <si>
    <t>Components</t>
  </si>
  <si>
    <t>Road Map Items</t>
  </si>
  <si>
    <t>Jira ID</t>
  </si>
  <si>
    <t>Originator</t>
  </si>
  <si>
    <t>Value</t>
  </si>
  <si>
    <t>Priority</t>
  </si>
  <si>
    <t>Plan Status</t>
  </si>
  <si>
    <t>Prc Design</t>
  </si>
  <si>
    <t>R/URS</t>
  </si>
  <si>
    <t>R/DDS</t>
  </si>
  <si>
    <t>Dev</t>
  </si>
  <si>
    <t>SQA</t>
  </si>
  <si>
    <t>Prc Test</t>
  </si>
  <si>
    <t>Doc</t>
  </si>
  <si>
    <t>Reg SQA</t>
  </si>
  <si>
    <t>Release</t>
  </si>
  <si>
    <t>Man Days</t>
  </si>
  <si>
    <t>Pessimistic (10%)</t>
  </si>
  <si>
    <t>Est Formula</t>
  </si>
  <si>
    <t>TK's TARGET</t>
  </si>
  <si>
    <t>Start Date</t>
  </si>
  <si>
    <t>Dev End</t>
  </si>
  <si>
    <t>SQA HO</t>
  </si>
  <si>
    <t>Prod Date</t>
  </si>
  <si>
    <t>R/URS (5%)</t>
  </si>
  <si>
    <t>R/DDS (10%)</t>
  </si>
  <si>
    <t>Dev (50%)</t>
  </si>
  <si>
    <t>SQA (15%)</t>
  </si>
  <si>
    <t>Doc (10%)</t>
  </si>
  <si>
    <t>Reg SQA (10%)</t>
  </si>
  <si>
    <t>Input</t>
  </si>
  <si>
    <t>Streaming</t>
  </si>
  <si>
    <t>OC Streaming (80% done)</t>
  </si>
  <si>
    <t>https://octopusdtlsupport.atlassian.net/browse/O2-793</t>
  </si>
  <si>
    <t>RnD</t>
  </si>
  <si>
    <t>Plan</t>
  </si>
  <si>
    <t xml:space="preserve">OC streaming on Pub Sub </t>
  </si>
  <si>
    <t>Imp Team</t>
  </si>
  <si>
    <t>UnPlan</t>
  </si>
  <si>
    <t>Bulk Device creation</t>
  </si>
  <si>
    <t>BULK DEVICE CREATION FOR NON SMART DEVICES (on hold, no further thought process undertaken)
Current feature is to bulk create MQTT/IOT devices which has ability to directly connect to Azure IOT hub as an independent devices.
It does not cover the schenario where multiple non smart devices are connected to one gateway from where the data is send to cloud.
Now need is to replicate such non smart devices (connected to gateway) on OC as logical devices.</t>
  </si>
  <si>
    <t>Management</t>
  </si>
  <si>
    <t>Import Site Layout</t>
  </si>
  <si>
    <t>Import Site Layout catchup till date</t>
  </si>
  <si>
    <t>Scheduled Pull</t>
  </si>
  <si>
    <t>Support for Wide tables from SQL Source</t>
  </si>
  <si>
    <t>https://octopusdtlsupport.atlassian.net/browse/O2-2188</t>
  </si>
  <si>
    <t>Need to understand this</t>
  </si>
  <si>
    <t>Support for Wide tables from API Source</t>
  </si>
  <si>
    <t>https://octopusdtlsupport.atlassian.net/browse/O2-2189</t>
  </si>
  <si>
    <t>Support for Wide tables from SFTP Source</t>
  </si>
  <si>
    <t>https://octopusdtlsupport.atlassian.net/browse/O2-2190</t>
  </si>
  <si>
    <t>OmniEdge diagnostics metrics collection</t>
  </si>
  <si>
    <t>https://octopusdtlsupport.atlassian.net/browse/O2-2269</t>
  </si>
  <si>
    <t>Enrichment</t>
  </si>
  <si>
    <t>APX</t>
  </si>
  <si>
    <t>APX - WhatIf Pump</t>
  </si>
  <si>
    <t>Process Team</t>
  </si>
  <si>
    <t>APX - WhatIf Compressor</t>
  </si>
  <si>
    <t>APX - WhatIf Condenser</t>
  </si>
  <si>
    <t>APX - WhatIf Heat Exchanger</t>
  </si>
  <si>
    <t>APX - WhatIf Boiler</t>
  </si>
  <si>
    <t>APX - Health Pump</t>
  </si>
  <si>
    <t>APX - Health Compressor</t>
  </si>
  <si>
    <t>APX - Health Motor</t>
  </si>
  <si>
    <r>
      <t xml:space="preserve">DEV - </t>
    </r>
    <r>
      <rPr>
        <b/>
        <sz val="11"/>
        <color theme="1"/>
        <rFont val="Calibri"/>
        <family val="2"/>
        <scheme val="minor"/>
      </rPr>
      <t>WhatIf</t>
    </r>
    <r>
      <rPr>
        <sz val="11"/>
        <color theme="1"/>
        <rFont val="Calibri"/>
        <family val="2"/>
        <scheme val="minor"/>
      </rPr>
      <t xml:space="preserve"> Visual Screens (Pump, Comp,Cond,Hex, Boiler) II</t>
    </r>
  </si>
  <si>
    <t>https://octopusdtlsupport.atlassian.net/browse/O2-1991</t>
  </si>
  <si>
    <t>DEV - Tempate Tool Enhancement for WhatIf and Health</t>
  </si>
  <si>
    <t>https://octopusdtlsupport.atlassian.net/browse/O2-2186</t>
  </si>
  <si>
    <t>DEV - Performance Module Enhancements (Results in OC )</t>
  </si>
  <si>
    <t>APX - Demos</t>
  </si>
  <si>
    <t>1+</t>
  </si>
  <si>
    <t>Batch / BPM</t>
  </si>
  <si>
    <t>IT/OT Conversion Batch/BPM (on hold)</t>
  </si>
  <si>
    <t>-</t>
  </si>
  <si>
    <t>Support for SQL Language in Batch/BPM(Features Supported by adx) (Discussion Required)</t>
  </si>
  <si>
    <t>"Create Asset from Template" Add BPM support (Discussion Required)</t>
  </si>
  <si>
    <t>Faster Impl</t>
  </si>
  <si>
    <t>Enterprise connectors</t>
  </si>
  <si>
    <t>Enterprise Connectors Pipeline OnDemand Trigger</t>
  </si>
  <si>
    <t>In the meantime we should document the process of achieving that as project implementation</t>
  </si>
  <si>
    <t>IT/OT Conversion for Enterprise Connectors (on hold)</t>
  </si>
  <si>
    <t>Calculated Tags Enhancement</t>
  </si>
  <si>
    <t>Nesting of Counter, Timer, Totalizer</t>
  </si>
  <si>
    <t>https://octopusdtlsupport.atlassian.net/browse/O2-697</t>
  </si>
  <si>
    <t>Thought it was already done</t>
  </si>
  <si>
    <t>Anomaly Detection Engine (ADE)</t>
  </si>
  <si>
    <t>ADE for Batch/BPM IT Data (Discussion Requried)</t>
  </si>
  <si>
    <t>ADE for Enterprise Connectors IT Data (Discussion Required)</t>
  </si>
  <si>
    <t>Alarm</t>
  </si>
  <si>
    <t>Alarms for Batch IT Data</t>
  </si>
  <si>
    <t xml:space="preserve">https://octopusdtlsupport.atlassian.net/browse/O2-2277 </t>
  </si>
  <si>
    <t>Alarms for BPM IT Data</t>
  </si>
  <si>
    <t>https://octopusdtlsupport.atlassian.net/browse/O2-2278</t>
  </si>
  <si>
    <t>Alarms for Enterprise Connectors IT Data SQL</t>
  </si>
  <si>
    <t>https://octopusdtlsupport.atlassian.net/browse/O2-2279</t>
  </si>
  <si>
    <t>Alarms for Enterprise Connectors IT Data Rest API</t>
  </si>
  <si>
    <t>https://octopusdtlsupport.atlassian.net/browse/O2-2280</t>
  </si>
  <si>
    <t>Alarms for Enterprise Connectors IT Data SFTP</t>
  </si>
  <si>
    <t>https://octopusdtlsupport.atlassian.net/browse/O2-2296</t>
  </si>
  <si>
    <t>Alarms for Enterprise Connectors IT Data SAP</t>
  </si>
  <si>
    <t>https://octopusdtlsupport.atlassian.net/browse/O2-2321</t>
  </si>
  <si>
    <t>Diagnostics</t>
  </si>
  <si>
    <t>ML based Tier 4 Diagnostics (Landing Pattern based alerts)</t>
  </si>
  <si>
    <t>OmniOEE</t>
  </si>
  <si>
    <t>OmniOEE Phase 1 - Batch/BPM Std Compute Module (Curated, Library-stored)</t>
  </si>
  <si>
    <t>Need to understand it. Also we should be able to document this and do it as project</t>
  </si>
  <si>
    <t>OmniOEE Phase 2 – Full OEE System (Production Planning, Configuration, Data, Visualizations)</t>
  </si>
  <si>
    <t>OmniALA</t>
  </si>
  <si>
    <t>Aux Load Advisor</t>
  </si>
  <si>
    <t>Document and make it sound as a product till we get an order</t>
  </si>
  <si>
    <t>ML</t>
  </si>
  <si>
    <t>Pattern Recognition</t>
  </si>
  <si>
    <t>This should be very easy to implement using AI coding assistance</t>
  </si>
  <si>
    <t>Forcasting</t>
  </si>
  <si>
    <t>Output</t>
  </si>
  <si>
    <t>OmniAgent</t>
  </si>
  <si>
    <t>Multi Agent Support</t>
  </si>
  <si>
    <t>What is this?</t>
  </si>
  <si>
    <t xml:space="preserve">ADE to AutoPrompt to OmniAgent to RCA/Advice </t>
  </si>
  <si>
    <t>Trending</t>
  </si>
  <si>
    <t>OC Trending V2</t>
  </si>
  <si>
    <t>https://octopusdtlsupport.atlassian.net/browse/O2-456</t>
  </si>
  <si>
    <t>Imp Team, Process Team</t>
  </si>
  <si>
    <t>Audit Trail</t>
  </si>
  <si>
    <t>Competitive</t>
  </si>
  <si>
    <t>UI UX</t>
  </si>
  <si>
    <t xml:space="preserve">Revamped UI </t>
  </si>
  <si>
    <t>Unified Notification Engine</t>
  </si>
  <si>
    <t>https://octopusdtlsupport.atlassian.net/browse/O2-36</t>
  </si>
  <si>
    <t>Export to SQL</t>
  </si>
  <si>
    <t>Export to SQL Enhancement</t>
  </si>
  <si>
    <t>https://octopusdtlsupport.atlassian.net/browse/O2-1976</t>
  </si>
  <si>
    <t>Administration</t>
  </si>
  <si>
    <t>Subscription Management</t>
  </si>
  <si>
    <t>Pricing Module</t>
  </si>
  <si>
    <t>DRP</t>
  </si>
  <si>
    <t>Redundancy in Blob Storage</t>
  </si>
  <si>
    <t>Why is this needed?</t>
  </si>
  <si>
    <t>Man days</t>
  </si>
  <si>
    <t>Most likely</t>
  </si>
  <si>
    <t>Fintech Fuel Roadmap Items</t>
  </si>
  <si>
    <t>JIRA ID</t>
  </si>
  <si>
    <t>Alsons</t>
  </si>
  <si>
    <t>Alsons Connectivity for Reading (done) (6h)</t>
  </si>
  <si>
    <t>PGL</t>
  </si>
  <si>
    <t>Alsons Data Compatibility POC with FintechFuel - (41h)</t>
  </si>
  <si>
    <t>Alsons Integration with FintechFuel</t>
  </si>
  <si>
    <t>Business Alarms</t>
  </si>
  <si>
    <t>Configurable alert thresholds and Recipients (done)</t>
  </si>
  <si>
    <t>Leak and theft alerts</t>
  </si>
  <si>
    <t>Theft detection (internal/external)</t>
  </si>
  <si>
    <t>Nozzle bypass detection</t>
  </si>
  <si>
    <t>Calibration drift alerts</t>
  </si>
  <si>
    <t>Sensor malfunction alerts</t>
  </si>
  <si>
    <t>Unauthorized dispensing alerts</t>
  </si>
  <si>
    <t>Power outage detection</t>
  </si>
  <si>
    <t>Alert escalation workflows</t>
  </si>
  <si>
    <t>Alert acknowledgment and resolution tracking</t>
  </si>
  <si>
    <t>Nozzle flow rate</t>
  </si>
  <si>
    <t>Under-Dispensing</t>
  </si>
  <si>
    <t>System Alarms</t>
  </si>
  <si>
    <t>Connectivity loss alerts (done)</t>
  </si>
  <si>
    <t>Pricing/profit optimization</t>
  </si>
  <si>
    <t>Predictive Maintenance</t>
  </si>
  <si>
    <t>Sudden Loss indicator</t>
  </si>
  <si>
    <t>URM</t>
  </si>
  <si>
    <t>User &amp; role management</t>
  </si>
  <si>
    <t>https://octopusdtlsupport.atlassian.net/browse/FF-541</t>
  </si>
  <si>
    <t>Configuration</t>
  </si>
  <si>
    <t>Station and tank configuration</t>
  </si>
  <si>
    <t>Product mapping</t>
  </si>
  <si>
    <t>Unit and currency settings</t>
  </si>
  <si>
    <t>*Would require a session with IA as well for showing data on dashboard of sites with different currencies
*Understanding session is required with PGL</t>
  </si>
  <si>
    <t>Audit</t>
  </si>
  <si>
    <t>Audit trails (phase 1) - User-management</t>
  </si>
  <si>
    <t>https://octopusdtlsupport.atlassian.net/browse/FF-446</t>
  </si>
  <si>
    <t>Audit trails (phase 2) - Module Interaction</t>
  </si>
  <si>
    <t>https://octopusdtlsupport.atlassian.net/browse/FF-512</t>
  </si>
  <si>
    <t>Audit trails (phase 3) - Activity Log</t>
  </si>
  <si>
    <t>https://octopusdtlsupport.atlassian.net/browse/FF-517</t>
  </si>
  <si>
    <t>OutPut</t>
  </si>
  <si>
    <t>Mobile</t>
  </si>
  <si>
    <t>Mobile View without Manual submit Data</t>
  </si>
  <si>
    <t>ReadAPI</t>
  </si>
  <si>
    <t>ReadAPI to pull data from FintechFuel - (21h)</t>
  </si>
  <si>
    <t>Write-Back</t>
  </si>
  <si>
    <t>Write-Back Price to stations - (10h)</t>
  </si>
  <si>
    <t>https://octopusdtlsupport.atlassian.net/browse/FF-302</t>
  </si>
  <si>
    <t>Notification</t>
  </si>
  <si>
    <t>Notification via Email /SMS</t>
  </si>
  <si>
    <t>Gen AI</t>
  </si>
  <si>
    <t>FuelChat - Summarized version</t>
  </si>
  <si>
    <t>https://octopusdtlsupport.atlassian.net/browse/FF-312</t>
  </si>
  <si>
    <t>Multi-language</t>
  </si>
  <si>
    <t>Support for multi language</t>
  </si>
  <si>
    <t>https://octopusdtlsupport.atlassian.net/browse/FF-498</t>
  </si>
  <si>
    <t>Support Tickets</t>
  </si>
  <si>
    <t>None</t>
  </si>
  <si>
    <t>TO CATEGORIZE YET</t>
  </si>
  <si>
    <t>System health monitoring(Site Diagnostic) - (12h)</t>
  </si>
  <si>
    <t>https://octopusdtlsupport.atlassian.net/browse/FF-274</t>
  </si>
  <si>
    <t>Calculate Tank delivery (Alsons device)</t>
  </si>
  <si>
    <t>https://octopusdtlsupport.atlassian.net/browse/FF-542</t>
  </si>
  <si>
    <r>
      <t xml:space="preserve">Unified Platform &amp; Multi-Site Visibility (Consolidated view for all sites)
- The client wants a unified platform that provides information from all plant sites in one place.
- Key data points requested in the unified view include storage tank volume and timestamped deliveries.
</t>
    </r>
    <r>
      <rPr>
        <sz val="11"/>
        <color rgb="FFFF0000"/>
        <rFont val="Calibri"/>
      </rPr>
      <t>- The solution must support network-scale visibility for hundreds of sites, not just a small pilot set.
- Different user levels, including management, leadership, supervisors, and operations teams, need different views of the same data.
- Visibility of sites, targets, and data should follow the assigned user hierarchy.</t>
    </r>
  </si>
  <si>
    <r>
      <t>Deliveries &amp; Delivery Identification</t>
    </r>
    <r>
      <rPr>
        <sz val="11"/>
        <color rgb="FFFF0000"/>
        <rFont val="Calibri"/>
        <family val="2"/>
      </rPr>
      <t xml:space="preserve">
- Deliveries are already available with timestamps in Fintech Fuel.
- The client wants to distinguish PGL deliveries from non-PGL deliveries, with a clear classification such as PGL and Not PGL.
- At COCO sites, current deliveries are considered PGL deliveries.
- At DODO sites, the client needs a way to identify who decanted product into storage because multiple providers may use the same storage.
- The current level of control at DODO sites is weaker than at COCO sites, and the client wants better controls in Fintech Fuel.
- The Deliveries page should use the industry term Delivery Note instead of Bill of Lading.
- For imported products, a delivery note or lading reference should be captured on the UI.
- A lading reference is currently seen as a reference point only and not as a full control mechanism.
- The client wants this requirement captured as a KPI or future control area even if it is initially implemented as a wish-list item.
- The system should highlight cases where actual decanted quantity exceeds expected quantity.
- Manual delivery references alone are not sufficient to establish end-to-end control.</t>
    </r>
  </si>
  <si>
    <t>Dashboard Enhancements
- Visual representations
- Sales vs target trend must be dynamic not just last 7 days
- Stock level must be dynamic not just last 7 days
- Remove minute-level filters
- Show time of fetched data on stock-level
- positive/negative variance with color coding</t>
  </si>
  <si>
    <t>Historical Comparison &amp; Trend Analysis
- Comparison of different metrices like sales vs deliveries etc.</t>
  </si>
  <si>
    <r>
      <t>Reconciliation &amp; Variance Analysis</t>
    </r>
    <r>
      <rPr>
        <sz val="11"/>
        <color rgb="FFFF0000"/>
        <rFont val="Calibri"/>
        <family val="2"/>
      </rPr>
      <t xml:space="preserve">
- Reconciliation is a key area for the client, especially to monitor external uplifting.
- The reconciliation report should help users see how frequently variation occurs over time.
- The client wants anomaly highlighting for variances above selected thresholds.
- The current tabulated Excel-like representation is difficult to consume and needs a better UI/UX treatment.
- The user wants a product-tile style interaction where clicking a product reveals its reconciliation details.
- There is currently no way to define a threshold value in the system; the client asked for configurable selected thresholds.
- The system should highlight anomalies at the time of reconciliation.
- The reconciliation workflow should support investigation into why a difference exists.
- Initial anomaly reasons should at least include data disconnectivity, whether due to internet issues or equipment malfunction.
- The reconciliation report must show consistent data and clearly reflect when a site is not transmitting data.
- If data is missing, the report should show an exclusion note so the variance can be interpreted correctly.
- The client suggested a rule such as flagging any site where no data transmission happens for 60 or more minutes.
- Capturing the anomaly event is considered the first priority; the detailed report presentation can be refined with users afterward.
- The report should include a summary table on top for the selected period with one row per product, instead of only date-by-date product entries.
- The user emphasized that reconciliation UI/UX quality is a possible road blocker.</t>
    </r>
  </si>
  <si>
    <t>Data Accuracy, Connectivity &amp; Equipment Failure
- Data accuracy is a major concern for the client.
- Two primary failure scenarios were identified:
   -- Internet disconnectivity between the site and the cloud.
   -- Site hardware or controller malfunction.
- In internet disconnectivity scenarios, the controller device must accumulate data and transmit it once connectivity is restored.
- No data loss is acceptable when internet connectivity is interrupted.
- If the controller or site equipment is not working, the system must raise an alert.
- The client wants the system to inform users whether a site cannot reconcile because of internet disconnectivity or equipment malfunction.
- If equipment fails and data is not captured, the system must provide manual entry for lost site data.
- Manual entry is considered necessary to maintain 100% data accuracy and complete reconciliation.
- The client requested an admin-level tool for manual data entry when ATG or related equipment is down.
- The discussion referenced a practical case where if ATG is down for two hours, the system should allow offline or manual input.
- Offline input data is therefore a required feature.</t>
  </si>
  <si>
    <t>Alerts, Diagnostics &amp; Notifications
- Alerts should not remain isolated in one report; they should connect with diagnostics and related operational reports.
- Email notifications should be available for alerts.
- A diagnostics or connectivity view should show which sites are disconnected.
- Connectivity and equipment-down conditions should raise alerts.
- If a device fails to ping within a configured time period, the system should raise an alert if the controller supports that information.
- The client suggested using controller ping behavior as a simple basis for equipment-down alerting.
- Thresholds for alarms should be configurable.
- A 0.5% threshold was specifically mentioned in the discussion.</t>
  </si>
  <si>
    <t>Reporting, Terminology &amp; Units
- Nozzle-level sales are not clear to the client, partly because of the nomenclature used in the nozzle report.
- The transaction report does not clearly mention the unit of measure.
- The client wants units such as liters or currency to be visible consistently across the application.
- Report terminology and naming should be reviewed so reports are easier for the business to understand.
- The client asked the team to review nomenclature used in summarized and detailed reports.</t>
  </si>
  <si>
    <r>
      <t>Loss/Gain Analytics &amp; Tank Illustration</t>
    </r>
    <r>
      <rPr>
        <sz val="11"/>
        <color rgb="FFFF0000"/>
        <rFont val="Calibri"/>
        <family val="2"/>
      </rPr>
      <t xml:space="preserve">
- The client asked for tank-wise visibility in addition to product-wise views.
- The discussion clarified that this requirement is already fulfilled through the Stock Levels report.
- The gap identified was client awareness and product discoverability, not missing functionality.
- Tank illustration is also required.</t>
    </r>
  </si>
  <si>
    <r>
      <t>Sales Targets &amp; Organizational Hierarchy</t>
    </r>
    <r>
      <rPr>
        <sz val="11"/>
        <color rgb="FFFF0000"/>
        <rFont val="Calibri"/>
        <family val="2"/>
      </rPr>
      <t xml:space="preserve">
- Sales targets are maintained at multiple levels, including yearly, quarterly, monthly, and weekly.
- The client does not use daily targets as a primary planning level.
- Weekly contribution to yearly targets is important.
- Targets are established globally for fuel and are often maintained in Excel at area and station level.
- The client wants an Excel upload feature so sales targets can be populated in bulk.
- A sample Excel file is to be shared by the client after checking with the sales team.
- The client also wants targets and sites linked to territory managers and other organizational roles.
- The current page can partially support target assignment but does not fully reflect the organizational hierarchy such as region-wise or territory-manager-wise structures.
- Further alignment with the sales team is needed to define how targets should be modeled in Fintech Fuel and to set expectations.</t>
    </r>
  </si>
  <si>
    <r>
      <t>Date Range &amp; Time Handling</t>
    </r>
    <r>
      <rPr>
        <sz val="11"/>
        <color rgb="FFFF0000"/>
        <rFont val="Calibri"/>
        <family val="2"/>
      </rPr>
      <t xml:space="preserve">
- The client objected to 8 AM to 8 PM reconciliation windows from a UX perspective.</t>
    </r>
    <r>
      <rPr>
        <sz val="11"/>
        <rFont val="Calibri"/>
        <family val="2"/>
      </rPr>
      <t xml:space="preserve">
- Date filtering should behave as full-day selection:
- Single day selection should mean 00:00 to 23:59.
- Multi-day selection should mean from the start of the first day to the end of the last day.
- Site-level time window configuration exists, but implementation would require client approval.</t>
    </r>
    <r>
      <rPr>
        <sz val="11"/>
        <color rgb="FFFF0000"/>
        <rFont val="Calibri"/>
        <family val="2"/>
      </rPr>
      <t xml:space="preserve">
- A possible tolerance buffer of 5% to 10% was discussed to account for timing-related variances such as transactions crossing midnight.
- The team agreed that the transaction end time is the correct timestamp to use for calculations.</t>
    </r>
  </si>
  <si>
    <r>
      <t>Price Monitoring &amp; Control
- The client wants head-office price communication to each dispenser.</t>
    </r>
    <r>
      <rPr>
        <sz val="11"/>
        <color rgb="FFFF0000"/>
        <rFont val="Calibri"/>
        <family val="2"/>
      </rPr>
      <t xml:space="preserve">
- This feature has been built for ALSONs and is in progress for the DOVER Fusion Controller.
- If a site changes the selling price from the approved head-office price, Fintech Fuel should raise an alert.
- The client gave an example where a site selling at a higher price than the approved price must be flagged.
- The client expects exact price matching and does not want a tolerance-based comparison here.
- If no transaction has occurred, the current logic may not receive PPU data; this limitation needs a workaround.
- Price comparison and price history should be visible in the application.
- Price change alerting should not depend only on transactions because the damage may already be done by then.
- The team needs to confirm whether the FC controller communicates price changes directly.</t>
    </r>
  </si>
  <si>
    <t>Role-Based Access
- Ground staff should have read-only access.
- Head-office staff should have edit and configuration control.
- Manual entry and sensitive corrections should follow user-role restrictions.
- The client requested user management roles and an approval system through hierarchy for manual data entry and related control workflows.</t>
  </si>
  <si>
    <t>Leak &amp; Theft Alerts</t>
  </si>
  <si>
    <t> </t>
  </si>
  <si>
    <t>Sample test for litre quantity from dispenser and then pouring back to tank or detained (discarded)</t>
  </si>
  <si>
    <t>To compliance with OGRA</t>
  </si>
  <si>
    <t>Get delivery data from OMC companies from their ERP via API and match with how much exact delivery is delivered to Tank at Site to make sure if the Dealer has decanted some delivery to else where or not.</t>
  </si>
  <si>
    <t>Take manual dip reading with DateTime stamp for opening and closing stocks. And make separate reconciliation report wchih will take manual dip readings entered by user.</t>
  </si>
  <si>
    <t>Configurable Site Reconn. Time (done)</t>
  </si>
  <si>
    <t>OmniChat Roadmap Items</t>
  </si>
  <si>
    <t>Omni Agent Connector</t>
  </si>
  <si>
    <t>Connects to OmniAgent via API for OC related queries</t>
  </si>
  <si>
    <t>https://octopusdtlsupport.atlassian.net/browse/O2-1461</t>
  </si>
  <si>
    <t>Dashboard</t>
  </si>
  <si>
    <t>Dashboard level Filtering</t>
  </si>
  <si>
    <t>https://octopusdtlsupport.atlassian.net/browse/MN-30</t>
  </si>
  <si>
    <t>Impl Team</t>
  </si>
  <si>
    <t>Panel level Filtering</t>
  </si>
  <si>
    <t>https://octopusdtlsupport.atlassian.net/browse/MN-75</t>
  </si>
  <si>
    <t>Panel Resizing</t>
  </si>
  <si>
    <t>https://octopusdtlsupport.atlassian.net/browse/MN-76</t>
  </si>
  <si>
    <t>Auto Dashboard sharing</t>
  </si>
  <si>
    <t>https://octopusdtlsupport.atlassian.net/browse/MN-77</t>
  </si>
  <si>
    <t>Text Overlap in Graphs (x-axis)</t>
  </si>
  <si>
    <t>https://octopusdtlsupport.atlassian.net/browse/MN-153</t>
  </si>
  <si>
    <t>DataSet</t>
  </si>
  <si>
    <t>Auto Dataset Selection</t>
  </si>
  <si>
    <t>https://octopusdtlsupport.atlassian.net/browse/MN-29</t>
  </si>
  <si>
    <t xml:space="preserve">Advanced Multiple Dataset </t>
  </si>
  <si>
    <t>https://octopusdtlsupport.atlassian.net/browse/MN-32</t>
  </si>
  <si>
    <t>Sharing</t>
  </si>
  <si>
    <t>Group Chat</t>
  </si>
  <si>
    <t>https://octopusdtlsupport.atlassian.net/browse/MN-31</t>
  </si>
  <si>
    <t>Communication Channels</t>
  </si>
  <si>
    <t>Extend quering to enterprise communication channels</t>
  </si>
  <si>
    <t>Password Reset</t>
  </si>
  <si>
    <t>https://octopusdtlsupport.atlassian.net/browse/MN-53</t>
  </si>
  <si>
    <t>Documentation</t>
  </si>
  <si>
    <t>User Manual</t>
  </si>
  <si>
    <t>Issue Fixing</t>
  </si>
  <si>
    <t>Known Issues fixing (reported during handover)</t>
  </si>
  <si>
    <t>https://octopusdtlsupport.atlassian.net/browse/MN-78</t>
  </si>
  <si>
    <t>First regression on OmniChat</t>
  </si>
  <si>
    <t>Estimations</t>
  </si>
  <si>
    <t xml:space="preserve">EPR </t>
  </si>
  <si>
    <t>Planned  vs Actual</t>
  </si>
  <si>
    <t>Efficiency</t>
  </si>
  <si>
    <t>Schedule variance in days</t>
  </si>
  <si>
    <t>Later</t>
  </si>
  <si>
    <t>Technical Debt</t>
  </si>
  <si>
    <t>Digital Log - Absolute range</t>
  </si>
  <si>
    <t>DEV</t>
  </si>
  <si>
    <t>Enrichment </t>
  </si>
  <si>
    <t>MAN</t>
  </si>
  <si>
    <t>Digital Log - Attachment pic with each Checklist (, audio, video, pdf, etc)</t>
  </si>
  <si>
    <t>Digital Log - Attachments at remarks from approver1, approver2</t>
  </si>
  <si>
    <t>Digital Log - Bulk creation of parameters through importing CSV file(s) (User can develop a template of parameters and then can use for multiple areas/assets)</t>
  </si>
  <si>
    <t>Digital Log - Calculated tags</t>
  </si>
  <si>
    <t>Digital Log - Delete option to admin (to delete unclaimed checklists) Data Collector → Inbox</t>
  </si>
  <si>
    <t>Digital Log - DL Analytics (Dependent upon client need &amp; Data)</t>
  </si>
  <si>
    <t xml:space="preserve">Enrichment </t>
  </si>
  <si>
    <t>Digital Log - DL Default Reports</t>
  </si>
  <si>
    <t>Digital Log - DL Trial on WebSite</t>
  </si>
  <si>
    <t>Digital Log - Domain Migration to Brand Octopus Digital</t>
  </si>
  <si>
    <t>Digital Log - DL Default Reports - Research</t>
  </si>
  <si>
    <t>Digital Log - Email text formatting</t>
  </si>
  <si>
    <t>Digital Log Roadmap Items</t>
  </si>
  <si>
    <t>Data Collector</t>
  </si>
  <si>
    <t>Journals for Web</t>
  </si>
  <si>
    <t>Journals for Mobile Android</t>
  </si>
  <si>
    <t>Mobile App iOS</t>
  </si>
  <si>
    <t>Journals for Mobile iOS</t>
  </si>
  <si>
    <t>User Remarks Traceability</t>
  </si>
  <si>
    <t>Colgate</t>
  </si>
  <si>
    <t>Calculated tags</t>
  </si>
  <si>
    <t>Client Feedback - Demo</t>
  </si>
  <si>
    <t>Attachments at remarks from approver1, approver2</t>
  </si>
  <si>
    <t>Ashghal</t>
  </si>
  <si>
    <t>Delete option to admin (to delete unclaimed checklists) Data Collector -&gt; Inbox</t>
  </si>
  <si>
    <t>EVTL</t>
  </si>
  <si>
    <t>Attachment pic with each Checklist (, audio, video, pdf, etc)</t>
  </si>
  <si>
    <t>Validation of Values to be within defined threshold</t>
  </si>
  <si>
    <t>Return &amp; Re-Approval param values and comments traceability</t>
  </si>
  <si>
    <t>https://octopusdtlsupport.atlassian.net/browse/DIGITALLOG-221</t>
  </si>
  <si>
    <t xml:space="preserve">Digital Signatures (Like DocuSign idea) </t>
  </si>
  <si>
    <t>https://octopusdtlsupport.atlassian.net/browse/DIGITALLOG-223</t>
  </si>
  <si>
    <t>Hierarchy Builder</t>
  </si>
  <si>
    <t>Import &amp; export of assets hierarchy</t>
  </si>
  <si>
    <t>Checklist Builder</t>
  </si>
  <si>
    <t>Import &amp; export of checklists</t>
  </si>
  <si>
    <t>Parameter Builder</t>
  </si>
  <si>
    <t>Bulk creation of parameters through importing CSV file(s) (User can develop a template of parameters and then can use for multiple areas/assets)</t>
  </si>
  <si>
    <t>Audits</t>
  </si>
  <si>
    <t>Automated Record of actions taken</t>
  </si>
  <si>
    <t>WorkFlows</t>
  </si>
  <si>
    <t>Automated Triggered O&amp;M Actions</t>
  </si>
  <si>
    <t>Holiday</t>
  </si>
  <si>
    <t>Holiday wrt Start and End Time</t>
  </si>
  <si>
    <t>Scheduling</t>
  </si>
  <si>
    <t>Triggering of checklist instance on some event (we have scheduled checklist feature &amp; it is triggered on given frequency)</t>
  </si>
  <si>
    <t>User Specified Time based Checklist Scheduling</t>
  </si>
  <si>
    <t>https://octopusdtlsupport.atlassian.net/browse/DIGITALLOG-222</t>
  </si>
  <si>
    <t>Trial</t>
  </si>
  <si>
    <t>DL Trial on WebSite</t>
  </si>
  <si>
    <t>Competitive  -  Plant Log</t>
  </si>
  <si>
    <t>LogChat</t>
  </si>
  <si>
    <t>LogChat - Data Analysis</t>
  </si>
  <si>
    <t>LogChat - User Help, Journals</t>
  </si>
  <si>
    <t>https://octopusdtlsupport.atlassian.net/browse/DIGITALLOG-259</t>
  </si>
  <si>
    <t>Dashboards/Reports</t>
  </si>
  <si>
    <t>Request for Digital Log Usage Dashboard / Report
1- Total number of active users over time
2- Checklist creation trends (daily/weekly/monthly)
3- Number of completed vs. pending checklists
4- User login frequency</t>
  </si>
  <si>
    <t>DL Analytics (Dependent upon client need &amp; Data)</t>
  </si>
  <si>
    <t>Reports list is not available/viewable in tablet portrait mode</t>
  </si>
  <si>
    <t>DL Default Reports</t>
  </si>
  <si>
    <t>Alerts</t>
  </si>
  <si>
    <t>Notifications (desktop) at due, overdue checklist(s)</t>
  </si>
  <si>
    <t>Email text formatting</t>
  </si>
  <si>
    <t>User Management</t>
  </si>
  <si>
    <t>Enhance User Access Rights at granular level of Create, Read, Update, Delete like OmniConnect</t>
  </si>
  <si>
    <t>Most Likely</t>
  </si>
  <si>
    <t>Calculated Estimates</t>
  </si>
  <si>
    <t>April - June</t>
  </si>
  <si>
    <t>total days</t>
  </si>
  <si>
    <t>days per month</t>
  </si>
  <si>
    <t>Capacity</t>
  </si>
  <si>
    <t>RnD Team</t>
  </si>
  <si>
    <t>Leaves</t>
  </si>
  <si>
    <t>heads</t>
  </si>
  <si>
    <t>Availability</t>
  </si>
  <si>
    <t>per resource availability</t>
  </si>
  <si>
    <t>3 support days in 3 months</t>
  </si>
  <si>
    <t>per month support</t>
  </si>
  <si>
    <t>ACTUAL  HOURS</t>
  </si>
  <si>
    <t>Jan</t>
  </si>
  <si>
    <t>Feb</t>
  </si>
  <si>
    <t>March</t>
  </si>
  <si>
    <t>Avg</t>
  </si>
  <si>
    <t>hours</t>
  </si>
  <si>
    <t>ACTUAL  DAYS</t>
  </si>
  <si>
    <t>days</t>
  </si>
  <si>
    <t>FORMULA EXERCISE</t>
  </si>
  <si>
    <t>Stage</t>
  </si>
  <si>
    <t>Optimistics</t>
  </si>
  <si>
    <t>Most likey</t>
  </si>
  <si>
    <t>%</t>
  </si>
  <si>
    <t>Pessimistics</t>
  </si>
  <si>
    <t>Formula</t>
  </si>
  <si>
    <t>Sheet-wise totals</t>
  </si>
  <si>
    <t>URS</t>
  </si>
  <si>
    <t>DDS</t>
  </si>
  <si>
    <t>0 = dont show sheet wise total</t>
  </si>
  <si>
    <t>1 = show sheet wise total (will disturb summary tab)</t>
  </si>
  <si>
    <t>Buffer</t>
  </si>
  <si>
    <t>Sheet names</t>
  </si>
  <si>
    <t>OmniConnect RMI</t>
  </si>
  <si>
    <t>Fintech Fuel RMI</t>
  </si>
  <si>
    <t>OmniChat RMI</t>
  </si>
  <si>
    <t>Digital Log RMI</t>
  </si>
  <si>
    <t>Misc Road map Items</t>
  </si>
  <si>
    <t>Azure Cost</t>
  </si>
  <si>
    <t>Azure monthly cost management</t>
  </si>
  <si>
    <t>Dashboard Cost Distribution</t>
  </si>
  <si>
    <t>Cost Optimization</t>
  </si>
  <si>
    <t>Evaluate Cost optimization potential</t>
  </si>
  <si>
    <t>Long Format</t>
  </si>
  <si>
    <t>Wide Format</t>
  </si>
  <si>
    <t>tagName</t>
  </si>
  <si>
    <t>Timestamp</t>
  </si>
  <si>
    <t>R1</t>
  </si>
  <si>
    <t>R2</t>
  </si>
  <si>
    <t>R3</t>
  </si>
  <si>
    <t>R4</t>
  </si>
  <si>
    <t>R5</t>
  </si>
  <si>
    <t>R6</t>
  </si>
  <si>
    <t>R7</t>
  </si>
  <si>
    <t>R8</t>
  </si>
  <si>
    <t>R9</t>
  </si>
  <si>
    <t>R10</t>
  </si>
  <si>
    <t>Scenario</t>
  </si>
  <si>
    <t>Current Solution (200 Only)</t>
  </si>
  <si>
    <t>Proposed Solution (200 / 206)</t>
  </si>
  <si>
    <t>Interpretation Improvement</t>
  </si>
  <si>
    <t>No data available (device off / no value at timestamp)</t>
  </si>
  <si>
    <r>
      <t xml:space="preserve">Returns </t>
    </r>
    <r>
      <rPr>
        <b/>
        <sz val="11"/>
        <color theme="1"/>
        <rFont val="Calibri"/>
        <family val="2"/>
        <scheme val="minor"/>
      </rPr>
      <t>200 OK</t>
    </r>
    <r>
      <rPr>
        <sz val="11"/>
        <color theme="1"/>
        <rFont val="Calibri"/>
        <family val="2"/>
        <scheme val="minor"/>
      </rPr>
      <t xml:space="preserve"> with</t>
    </r>
  </si>
  <si>
    <t>No change — this is a valid absence of data</t>
  </si>
  <si>
    <t>null</t>
  </si>
  <si>
    <t>Unexpected device behavior (invalid/null ingestion)</t>
  </si>
  <si>
    <t>No change — still treated as valid but anomalous data</t>
  </si>
  <si>
    <t>Data not yet available (eventual consistency, e.g., ADX delay)</t>
  </si>
  <si>
    <r>
      <t xml:space="preserve">Returns </t>
    </r>
    <r>
      <rPr>
        <b/>
        <sz val="11"/>
        <color theme="1"/>
        <rFont val="Calibri"/>
        <family val="2"/>
        <scheme val="minor"/>
      </rPr>
      <t>206 Partial Content</t>
    </r>
    <r>
      <rPr>
        <sz val="11"/>
        <color theme="1"/>
        <rFont val="Calibri"/>
        <family val="2"/>
        <scheme val="minor"/>
      </rPr>
      <t xml:space="preserve"> with</t>
    </r>
  </si>
  <si>
    <r>
      <t xml:space="preserve">Clear distinction: indicates data is </t>
    </r>
    <r>
      <rPr>
        <b/>
        <sz val="11"/>
        <color theme="1"/>
        <rFont val="Calibri"/>
        <family val="2"/>
        <scheme val="minor"/>
      </rPr>
      <t>incomplete, not absent</t>
    </r>
  </si>
  <si>
    <t>Client’s ability to distinguish null cause</t>
  </si>
  <si>
    <r>
      <t>Not possible</t>
    </r>
    <r>
      <rPr>
        <sz val="11"/>
        <color theme="1"/>
        <rFont val="Calibri"/>
        <family val="2"/>
        <scheme val="minor"/>
      </rPr>
      <t xml:space="preserve"> — all nulls look identical</t>
    </r>
  </si>
  <si>
    <r>
      <t>Improved</t>
    </r>
    <r>
      <rPr>
        <sz val="11"/>
        <color theme="1"/>
        <rFont val="Calibri"/>
        <family val="2"/>
        <scheme val="minor"/>
      </rPr>
      <t xml:space="preserve"> — 206 signals incomplete/partial data</t>
    </r>
  </si>
  <si>
    <t>Enables better downstream handling and retries.</t>
  </si>
  <si>
    <t>Risk of silent data quality issues</t>
  </si>
  <si>
    <r>
      <t>High</t>
    </r>
    <r>
      <rPr>
        <sz val="11"/>
        <color theme="1"/>
        <rFont val="Calibri"/>
        <family val="2"/>
        <scheme val="minor"/>
      </rPr>
      <t xml:space="preserve"> — incomplete data may go unnoticed</t>
    </r>
  </si>
  <si>
    <r>
      <t>Reduced</t>
    </r>
    <r>
      <rPr>
        <sz val="11"/>
        <color theme="1"/>
        <rFont val="Calibri"/>
        <family val="2"/>
        <scheme val="minor"/>
      </rPr>
      <t xml:space="preserve"> — partial responses are explicitly flagged.</t>
    </r>
  </si>
  <si>
    <t>Improves observability and data integrity.</t>
  </si>
  <si>
    <t>Downstream system behavior (data marts, dashboards)</t>
  </si>
  <si>
    <t>May ingest incomplete data unknowingly</t>
  </si>
  <si>
    <t>Can implement safeguards (retry, delay ingestion)</t>
  </si>
  <si>
    <t>Prevents long-term data inconsistencies</t>
  </si>
  <si>
    <t>x</t>
  </si>
  <si>
    <t>Total Planned</t>
  </si>
  <si>
    <t>Unplanned</t>
  </si>
  <si>
    <t>Onhold</t>
  </si>
  <si>
    <t>OC</t>
  </si>
  <si>
    <t>FF</t>
  </si>
  <si>
    <t>first we didnt do it</t>
  </si>
  <si>
    <t>DL</t>
  </si>
  <si>
    <t>now we have done</t>
  </si>
  <si>
    <t>Pricing</t>
  </si>
  <si>
    <t>Technical Support</t>
  </si>
  <si>
    <t>Estimation</t>
  </si>
  <si>
    <t>RMI</t>
  </si>
  <si>
    <t>Status</t>
  </si>
  <si>
    <t>Apr</t>
  </si>
  <si>
    <t xml:space="preserve">May </t>
  </si>
  <si>
    <t>June</t>
  </si>
  <si>
    <t>a</t>
  </si>
  <si>
    <t>Delivered</t>
  </si>
  <si>
    <t>b</t>
  </si>
  <si>
    <t>c</t>
  </si>
  <si>
    <t>d</t>
  </si>
  <si>
    <t>e</t>
  </si>
  <si>
    <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</si>
</sst>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
    <numFmt numFmtId="165" formatCode="0.0"/>
  </numFmts>
  <fonts count="44">
    <font>
      <sz val="11"/>
      <color theme="1"/>
      <name val="Calibri"/>
      <family val="2"/>
      <scheme val="minor"/>
    </font>
    <font>
      <sz val="11"/>
      <color theme="1"/>
      <name val="Calibri"/>
      <scheme val="minor"/>
    </font>
    <font>
      <sz val="11"/>
      <color theme="1"/>
      <name val="Calibri"/>
      <scheme val="minor"/>
    </font>
    <font>
      <b/>
      <sz val="11"/>
      <color theme="1"/>
      <name val="Calibri"/>
      <family val="2"/>
      <scheme val="minor"/>
    </font>
    <font>
      <sz val="11"/>
      <color rgb="FF000000"/>
      <name val="Calibri"/>
      <family val="2"/>
      <scheme val="minor"/>
    </font>
    <font>
      <sz val="11"/>
      <color rgb="FF000000"/>
      <name val="Calibri"/>
      <scheme val="minor"/>
    </font>
    <font>
      <sz val="11"/>
      <color rgb="FF000000"/>
      <name val="Aptos Narrow"/>
    </font>
    <font>
      <sz val="10"/>
      <color rgb="FF000000"/>
      <name val="Arial"/>
      <charset val="1"/>
    </font>
    <font>
      <sz val="11"/>
      <color rgb="FF000000"/>
      <name val="Calibri"/>
    </font>
    <font>
      <sz val="11"/>
      <color theme="1"/>
      <name val="Calibri"/>
      <family val="2"/>
      <scheme val="minor"/>
    </font>
    <font>
      <sz val="11"/>
      <color rgb="FF006100"/>
      <name val="Calibri"/>
      <family val="2"/>
      <scheme val="minor"/>
    </font>
    <font>
      <b/>
      <sz val="11"/>
      <color rgb="FF006100"/>
      <name val="Calibri"/>
      <family val="2"/>
      <scheme val="minor"/>
    </font>
    <font>
      <b/>
      <sz val="11"/>
      <color rgb="FFC00000"/>
      <name val="Calibri"/>
      <family val="2"/>
      <scheme val="minor"/>
    </font>
    <font>
      <sz val="11"/>
      <color rgb="FF000000"/>
      <name val="Calibri"/>
      <family val="2"/>
    </font>
    <font>
      <sz val="11"/>
      <color rgb="FFFF0000"/>
      <name val="Calibri"/>
      <family val="2"/>
    </font>
    <font>
      <sz val="11"/>
      <name val="Calibri"/>
      <family val="2"/>
    </font>
    <font>
      <sz val="11"/>
      <color rgb="FFFF0000"/>
      <name val="Calibri"/>
    </font>
    <font>
      <b/>
      <sz val="11"/>
      <color theme="1"/>
      <name val="Calibri"/>
      <scheme val="minor"/>
    </font>
    <font>
      <sz val="14"/>
      <color theme="1"/>
      <name val="Calibri"/>
      <family val="2"/>
      <scheme val="minor"/>
    </font>
    <font>
      <b/>
      <sz val="14"/>
      <color theme="1"/>
      <name val="Calibri"/>
      <family val="2"/>
      <scheme val="minor"/>
    </font>
    <font>
      <b/>
      <sz val="11"/>
      <color rgb="FF006100"/>
      <name val="Calibri"/>
      <scheme val="minor"/>
    </font>
    <font>
      <b/>
      <sz val="11"/>
      <color rgb="FFC00000"/>
      <name val="Calibri"/>
      <scheme val="minor"/>
    </font>
    <font>
      <b/>
      <sz val="16"/>
      <color theme="5" tint="-0.249977111117893"/>
      <name val="Calibri"/>
      <family val="2"/>
      <scheme val="minor"/>
    </font>
    <font>
      <b/>
      <sz val="18"/>
      <color theme="1"/>
      <name val="Calibri"/>
      <family val="2"/>
      <scheme val="minor"/>
    </font>
    <font>
      <b/>
      <sz val="20"/>
      <color theme="1"/>
      <name val="Calibri"/>
      <family val="2"/>
      <scheme val="minor"/>
    </font>
    <font>
      <sz val="20"/>
      <color theme="1"/>
      <name val="Calibri"/>
      <family val="2"/>
      <scheme val="minor"/>
    </font>
    <font>
      <sz val="20"/>
      <color theme="9" tint="-0.249977111117893"/>
      <name val="Calibri"/>
      <family val="2"/>
      <scheme val="minor"/>
    </font>
    <font>
      <sz val="20"/>
      <color theme="5" tint="-0.249977111117893"/>
      <name val="Calibri"/>
      <family val="2"/>
      <scheme val="minor"/>
    </font>
    <font>
      <sz val="20"/>
      <color theme="4"/>
      <name val="Calibri"/>
      <family val="2"/>
      <scheme val="minor"/>
    </font>
    <font>
      <b/>
      <i/>
      <sz val="20"/>
      <color theme="1"/>
      <name val="Calibri"/>
      <family val="2"/>
      <scheme val="minor"/>
    </font>
    <font>
      <b/>
      <i/>
      <sz val="20"/>
      <color theme="9"/>
      <name val="Calibri"/>
      <family val="2"/>
      <scheme val="minor"/>
    </font>
    <font>
      <b/>
      <i/>
      <sz val="20"/>
      <color theme="5"/>
      <name val="Calibri"/>
      <family val="2"/>
      <scheme val="minor"/>
    </font>
    <font>
      <b/>
      <i/>
      <sz val="20"/>
      <color theme="4"/>
      <name val="Calibri"/>
      <family val="2"/>
      <scheme val="minor"/>
    </font>
    <font>
      <i/>
      <sz val="20"/>
      <color theme="1" tint="0.499984740745262"/>
      <name val="Calibri"/>
      <family val="2"/>
      <scheme val="minor"/>
    </font>
    <font>
      <b/>
      <sz val="11"/>
      <color rgb="FFFF0000"/>
      <name val="Calibri"/>
      <family val="2"/>
      <scheme val="minor"/>
    </font>
    <font>
      <b/>
      <sz val="11"/>
      <color rgb="FFFF0000"/>
      <name val="Calibri"/>
    </font>
    <font>
      <u/>
      <sz val="11"/>
      <color theme="1"/>
      <name val="Calibri"/>
      <family val="2"/>
      <scheme val="minor"/>
    </font>
    <font>
      <sz val="11"/>
      <color rgb="FF000000"/>
      <name val="Calibri"/>
      <charset val="1"/>
    </font>
    <font>
      <b/>
      <sz val="20"/>
      <color rgb="FFFF0000"/>
      <name val="Calibri"/>
      <family val="2"/>
      <scheme val="minor"/>
    </font>
    <font>
      <sz val="20"/>
      <color rgb="FFFF0000"/>
      <name val="Calibri"/>
      <family val="2"/>
      <scheme val="minor"/>
    </font>
    <font>
      <b/>
      <i/>
      <sz val="20"/>
      <color rgb="FFFF0000"/>
      <name val="Calibri"/>
      <family val="2"/>
      <scheme val="minor"/>
    </font>
    <font>
      <strike/>
      <sz val="11"/>
      <color rgb="FF000000"/>
      <name val="Calibri"/>
      <family val="2"/>
      <scheme val="minor"/>
    </font>
    <font>
      <b/>
      <sz val="36"/>
      <color theme="1"/>
      <name val="Calibri"/>
      <family val="2"/>
      <scheme val="minor"/>
    </font>
    <font>
      <u/>
      <sz val="11"/>
      <color theme="10"/>
      <name val="Calibri"/>
      <family val="2"/>
      <scheme val="minor"/>
    </font>
  </fonts>
  <fills count="18">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rgb="FFC6EFCE"/>
      </patternFill>
    </fill>
    <fill>
      <patternFill patternType="solid">
        <fgColor theme="2"/>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FFF00"/>
        <bgColor rgb="FF000000"/>
      </patternFill>
    </fill>
    <fill>
      <patternFill patternType="solid">
        <fgColor theme="9" tint="0.79998168889431442"/>
        <bgColor indexed="64"/>
      </patternFill>
    </fill>
    <fill>
      <patternFill patternType="solid">
        <fgColor theme="7" tint="0.59999389629810485"/>
        <bgColor indexed="64"/>
      </patternFill>
    </fill>
    <fill>
      <patternFill patternType="solid">
        <fgColor theme="0"/>
        <bgColor indexed="64"/>
      </patternFill>
    </fill>
    <fill>
      <patternFill patternType="solid">
        <fgColor theme="9" tint="0.59999389629810485"/>
        <bgColor indexed="64"/>
      </patternFill>
    </fill>
    <fill>
      <patternFill patternType="solid">
        <fgColor rgb="FFF2F2F2"/>
        <bgColor rgb="FF000000"/>
      </patternFill>
    </fill>
    <fill>
      <patternFill patternType="solid">
        <fgColor rgb="FFFFF2F2"/>
        <bgColor indexed="64"/>
      </patternFill>
    </fill>
    <fill>
      <patternFill patternType="solid">
        <fgColor rgb="FF92D050"/>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style="thick">
        <color rgb="FF000000"/>
      </top>
      <bottom/>
      <diagonal/>
    </border>
    <border>
      <left/>
      <right/>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theme="0" tint="-0.499984740745262"/>
      </left>
      <right/>
      <top/>
      <bottom/>
      <diagonal/>
    </border>
    <border>
      <left style="thin">
        <color theme="0" tint="-0.499984740745262"/>
      </left>
      <right/>
      <top/>
      <bottom style="thin">
        <color rgb="FF000000"/>
      </bottom>
      <diagonal/>
    </border>
    <border>
      <left style="thin">
        <color theme="0" tint="-0.499984740745262"/>
      </left>
      <right/>
      <top style="thin">
        <color theme="0" tint="-0.499984740745262"/>
      </top>
      <bottom style="thin">
        <color theme="0" tint="-0.499984740745262"/>
      </bottom>
      <diagonal/>
    </border>
    <border>
      <left style="thin">
        <color rgb="FF000000"/>
      </left>
      <right style="thin">
        <color rgb="FF000000"/>
      </right>
      <top/>
      <bottom style="thin">
        <color rgb="FF000000"/>
      </bottom>
      <diagonal/>
    </border>
    <border>
      <left style="thin">
        <color theme="0" tint="-0.499984740745262"/>
      </left>
      <right style="thin">
        <color theme="0" tint="-0.499984740745262"/>
      </right>
      <top style="thin">
        <color theme="0" tint="-0.499984740745262"/>
      </top>
      <bottom/>
      <diagonal/>
    </border>
    <border>
      <left style="thin">
        <color rgb="FF000000"/>
      </left>
      <right style="thin">
        <color rgb="FF000000"/>
      </right>
      <top style="thin">
        <color rgb="FF000000"/>
      </top>
      <bottom/>
      <diagonal/>
    </border>
    <border>
      <left style="thin">
        <color theme="0" tint="-0.499984740745262"/>
      </left>
      <right style="thin">
        <color theme="0" tint="-0.499984740745262"/>
      </right>
      <top/>
      <bottom style="thin">
        <color theme="0" tint="-0.499984740745262"/>
      </bottom>
      <diagonal/>
    </border>
    <border>
      <left style="thin">
        <color rgb="FF000000"/>
      </left>
      <right style="thin">
        <color rgb="FF000000"/>
      </right>
      <top/>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s>
  <cellStyleXfs count="4">
    <xf numFmtId="0" fontId="0" fillId="0" borderId="0"/>
    <xf numFmtId="9" fontId="9" fillId="0" borderId="0" applyFont="0" applyFill="0" applyBorder="0" applyAlignment="0" applyProtection="0"/>
    <xf numFmtId="0" fontId="10" fillId="4" borderId="0" applyNumberFormat="0" applyBorder="0" applyAlignment="0" applyProtection="0"/>
    <xf numFmtId="0" fontId="43" fillId="0" borderId="0" applyNumberFormat="0" applyFill="0" applyBorder="0" applyAlignment="0" applyProtection="0"/>
  </cellStyleXfs>
  <cellXfs count="320">
    <xf numFmtId="0" fontId="0" fillId="0" borderId="0" xfId="0"/>
    <xf numFmtId="0" fontId="0" fillId="0" borderId="1" xfId="0" applyBorder="1"/>
    <xf numFmtId="0" fontId="4" fillId="0" borderId="1" xfId="0" applyFont="1" applyBorder="1" applyAlignment="1">
      <alignment horizontal="left" wrapText="1"/>
    </xf>
    <xf numFmtId="0" fontId="3" fillId="0" borderId="2" xfId="0" applyFont="1" applyBorder="1"/>
    <xf numFmtId="0" fontId="0" fillId="0" borderId="3" xfId="0" applyBorder="1"/>
    <xf numFmtId="0" fontId="0" fillId="0" borderId="5" xfId="0" applyBorder="1"/>
    <xf numFmtId="0" fontId="0" fillId="0" borderId="6" xfId="0" applyBorder="1"/>
    <xf numFmtId="0" fontId="3" fillId="0" borderId="0" xfId="0" applyFont="1"/>
    <xf numFmtId="0" fontId="0" fillId="0" borderId="1" xfId="0" applyBorder="1" applyAlignment="1">
      <alignment horizontal="left" vertical="center"/>
    </xf>
    <xf numFmtId="0" fontId="5" fillId="0" borderId="9" xfId="0" applyFont="1" applyBorder="1" applyAlignment="1">
      <alignment readingOrder="1"/>
    </xf>
    <xf numFmtId="0" fontId="6" fillId="0" borderId="9" xfId="0" applyFont="1" applyBorder="1"/>
    <xf numFmtId="0" fontId="7" fillId="0" borderId="9" xfId="0" applyFont="1" applyBorder="1" applyAlignment="1">
      <alignment readingOrder="1"/>
    </xf>
    <xf numFmtId="15" fontId="8" fillId="0" borderId="9" xfId="0" applyNumberFormat="1" applyFont="1" applyBorder="1"/>
    <xf numFmtId="0" fontId="7" fillId="0" borderId="10" xfId="0" applyFont="1" applyBorder="1" applyAlignment="1">
      <alignment readingOrder="1"/>
    </xf>
    <xf numFmtId="0" fontId="8" fillId="0" borderId="9" xfId="0" applyFont="1" applyBorder="1" applyAlignment="1">
      <alignment wrapText="1"/>
    </xf>
    <xf numFmtId="0" fontId="5" fillId="0" borderId="9" xfId="0" applyFont="1" applyBorder="1" applyAlignment="1">
      <alignment wrapText="1"/>
    </xf>
    <xf numFmtId="0" fontId="8" fillId="0" borderId="9" xfId="0" applyFont="1" applyBorder="1"/>
    <xf numFmtId="0" fontId="8" fillId="0" borderId="10" xfId="0" applyFont="1" applyBorder="1"/>
    <xf numFmtId="15" fontId="8" fillId="0" borderId="9" xfId="0" applyNumberFormat="1" applyFont="1" applyBorder="1" applyAlignment="1">
      <alignment wrapText="1"/>
    </xf>
    <xf numFmtId="0" fontId="5" fillId="0" borderId="9" xfId="0" applyFont="1" applyBorder="1" applyAlignment="1">
      <alignment wrapText="1" readingOrder="1"/>
    </xf>
    <xf numFmtId="0" fontId="0" fillId="0" borderId="0" xfId="0" applyAlignment="1">
      <alignment wrapText="1"/>
    </xf>
    <xf numFmtId="0" fontId="5" fillId="2" borderId="9" xfId="0" applyFont="1" applyFill="1" applyBorder="1" applyAlignment="1">
      <alignment readingOrder="1"/>
    </xf>
    <xf numFmtId="0" fontId="0" fillId="2" borderId="0" xfId="0" applyFill="1"/>
    <xf numFmtId="0" fontId="5" fillId="2" borderId="9" xfId="0" applyFont="1" applyFill="1" applyBorder="1" applyAlignment="1">
      <alignment wrapText="1"/>
    </xf>
    <xf numFmtId="0" fontId="0" fillId="0" borderId="1" xfId="0" applyBorder="1" applyAlignment="1">
      <alignment vertical="center"/>
    </xf>
    <xf numFmtId="0" fontId="0" fillId="0" borderId="1" xfId="0" applyBorder="1" applyAlignment="1">
      <alignment horizontal="center" vertical="center"/>
    </xf>
    <xf numFmtId="0" fontId="3" fillId="0" borderId="1" xfId="0" applyFont="1" applyBorder="1"/>
    <xf numFmtId="0" fontId="4" fillId="0" borderId="1" xfId="0" applyFont="1" applyBorder="1" applyAlignment="1">
      <alignment wrapText="1"/>
    </xf>
    <xf numFmtId="0" fontId="3" fillId="0" borderId="12" xfId="0" applyFont="1" applyBorder="1"/>
    <xf numFmtId="0" fontId="0" fillId="0" borderId="13" xfId="0" applyBorder="1"/>
    <xf numFmtId="0" fontId="0" fillId="0" borderId="11" xfId="0" applyBorder="1"/>
    <xf numFmtId="0" fontId="0" fillId="0" borderId="14" xfId="0" applyBorder="1"/>
    <xf numFmtId="0" fontId="3" fillId="0" borderId="0" xfId="0" applyFont="1" applyAlignment="1">
      <alignment wrapText="1"/>
    </xf>
    <xf numFmtId="0" fontId="3" fillId="0" borderId="2" xfId="0" applyFont="1" applyBorder="1" applyAlignment="1">
      <alignment wrapText="1"/>
    </xf>
    <xf numFmtId="0" fontId="0" fillId="0" borderId="1" xfId="0" applyBorder="1" applyAlignment="1">
      <alignment wrapText="1"/>
    </xf>
    <xf numFmtId="0" fontId="0" fillId="0" borderId="4" xfId="0" applyBorder="1" applyAlignment="1">
      <alignment horizontal="left" vertical="center" wrapText="1"/>
    </xf>
    <xf numFmtId="0" fontId="0" fillId="0" borderId="1" xfId="0" applyBorder="1" applyAlignment="1">
      <alignment horizontal="left" vertical="center" wrapText="1"/>
    </xf>
    <xf numFmtId="9" fontId="0" fillId="0" borderId="0" xfId="0" applyNumberFormat="1"/>
    <xf numFmtId="0" fontId="4" fillId="0" borderId="1" xfId="0" applyFont="1" applyBorder="1" applyAlignment="1">
      <alignment horizontal="left" vertical="center" wrapText="1"/>
    </xf>
    <xf numFmtId="9" fontId="0" fillId="0" borderId="0" xfId="1" applyFont="1"/>
    <xf numFmtId="0" fontId="0" fillId="5" borderId="16" xfId="0" applyFill="1" applyBorder="1" applyAlignment="1">
      <alignment horizontal="center" vertical="center"/>
    </xf>
    <xf numFmtId="0" fontId="3" fillId="5" borderId="16" xfId="0" applyFont="1" applyFill="1" applyBorder="1" applyAlignment="1">
      <alignment horizontal="center" vertical="center"/>
    </xf>
    <xf numFmtId="1" fontId="0" fillId="5" borderId="16" xfId="0" applyNumberFormat="1" applyFill="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2" xfId="0" applyFont="1" applyBorder="1" applyAlignment="1">
      <alignment horizontal="center" vertical="center"/>
    </xf>
    <xf numFmtId="0" fontId="3" fillId="3" borderId="1" xfId="0" applyFont="1" applyFill="1" applyBorder="1" applyAlignment="1">
      <alignment horizontal="center" vertical="center"/>
    </xf>
    <xf numFmtId="0" fontId="3" fillId="3" borderId="11" xfId="0" applyFont="1" applyFill="1" applyBorder="1" applyAlignment="1">
      <alignment horizontal="center" vertical="center"/>
    </xf>
    <xf numFmtId="0" fontId="0" fillId="0" borderId="11" xfId="0" applyBorder="1" applyAlignment="1">
      <alignment horizontal="center" vertical="center"/>
    </xf>
    <xf numFmtId="0" fontId="0" fillId="0" borderId="0" xfId="0" applyAlignment="1">
      <alignment horizontal="center" vertical="center"/>
    </xf>
    <xf numFmtId="0" fontId="4" fillId="2" borderId="1" xfId="0" applyFont="1" applyFill="1" applyBorder="1" applyAlignment="1">
      <alignment wrapText="1"/>
    </xf>
    <xf numFmtId="0" fontId="3" fillId="3" borderId="2" xfId="0" applyFont="1" applyFill="1" applyBorder="1" applyAlignment="1">
      <alignment horizontal="center" vertical="center"/>
    </xf>
    <xf numFmtId="0" fontId="3" fillId="3" borderId="12" xfId="0" applyFont="1" applyFill="1" applyBorder="1" applyAlignment="1">
      <alignment horizontal="center" vertical="center"/>
    </xf>
    <xf numFmtId="0" fontId="4" fillId="0" borderId="1" xfId="0" applyFont="1" applyBorder="1" applyAlignment="1">
      <alignment horizontal="left" vertical="top" wrapText="1"/>
    </xf>
    <xf numFmtId="0" fontId="3" fillId="0" borderId="12" xfId="0" applyFont="1" applyBorder="1"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wrapText="1"/>
    </xf>
    <xf numFmtId="0" fontId="0" fillId="0" borderId="0" xfId="0" applyAlignment="1">
      <alignment horizontal="left" vertical="top"/>
    </xf>
    <xf numFmtId="0" fontId="12" fillId="6" borderId="16" xfId="0" applyFont="1" applyFill="1" applyBorder="1" applyAlignment="1">
      <alignment horizontal="center" vertical="center"/>
    </xf>
    <xf numFmtId="1" fontId="0" fillId="0" borderId="0" xfId="0" applyNumberFormat="1"/>
    <xf numFmtId="0" fontId="0" fillId="0" borderId="7" xfId="0" applyBorder="1" applyAlignment="1">
      <alignment horizontal="center" vertical="center"/>
    </xf>
    <xf numFmtId="0" fontId="0" fillId="7" borderId="1" xfId="0" applyFill="1" applyBorder="1" applyAlignment="1">
      <alignment horizontal="center" vertical="center"/>
    </xf>
    <xf numFmtId="0" fontId="0" fillId="7" borderId="0" xfId="0" applyFill="1"/>
    <xf numFmtId="0" fontId="0" fillId="8" borderId="1" xfId="0" applyFill="1" applyBorder="1" applyAlignment="1">
      <alignment horizontal="center" vertical="center"/>
    </xf>
    <xf numFmtId="0" fontId="0" fillId="8" borderId="1" xfId="0" applyFill="1" applyBorder="1"/>
    <xf numFmtId="0" fontId="0" fillId="8" borderId="1" xfId="0" applyFill="1" applyBorder="1" applyAlignment="1">
      <alignment wrapText="1"/>
    </xf>
    <xf numFmtId="0" fontId="0" fillId="8" borderId="1" xfId="0" applyFill="1" applyBorder="1" applyAlignment="1">
      <alignment horizontal="left" vertical="top"/>
    </xf>
    <xf numFmtId="0" fontId="4" fillId="8" borderId="1" xfId="0" applyFont="1" applyFill="1" applyBorder="1" applyAlignment="1">
      <alignment horizontal="left" vertical="top" wrapText="1"/>
    </xf>
    <xf numFmtId="0" fontId="0" fillId="9" borderId="1" xfId="0" applyFill="1" applyBorder="1" applyAlignment="1">
      <alignment horizontal="left" vertical="top"/>
    </xf>
    <xf numFmtId="0" fontId="0" fillId="9" borderId="1" xfId="0" applyFill="1" applyBorder="1"/>
    <xf numFmtId="0" fontId="0" fillId="9" borderId="0" xfId="0" applyFill="1" applyAlignment="1">
      <alignment horizontal="center" vertical="center"/>
    </xf>
    <xf numFmtId="0" fontId="0" fillId="9" borderId="1" xfId="0" applyFill="1" applyBorder="1" applyAlignment="1">
      <alignment horizontal="center" vertical="center"/>
    </xf>
    <xf numFmtId="0" fontId="0" fillId="0" borderId="7" xfId="0" applyBorder="1" applyAlignment="1">
      <alignment vertical="center" wrapText="1"/>
    </xf>
    <xf numFmtId="0" fontId="12" fillId="0" borderId="0" xfId="0" applyFont="1"/>
    <xf numFmtId="0" fontId="0" fillId="0" borderId="9" xfId="0" applyBorder="1"/>
    <xf numFmtId="0" fontId="3" fillId="3" borderId="9" xfId="0" applyFont="1" applyFill="1" applyBorder="1" applyAlignment="1">
      <alignment horizontal="center" vertical="center"/>
    </xf>
    <xf numFmtId="0" fontId="8" fillId="10" borderId="0" xfId="0" applyFont="1" applyFill="1" applyAlignment="1">
      <alignment wrapText="1"/>
    </xf>
    <xf numFmtId="0" fontId="3" fillId="0" borderId="9" xfId="0" applyFont="1" applyBorder="1"/>
    <xf numFmtId="0" fontId="3" fillId="0" borderId="9" xfId="0" applyFont="1" applyBorder="1" applyAlignment="1">
      <alignment wrapText="1"/>
    </xf>
    <xf numFmtId="0" fontId="3" fillId="0" borderId="9" xfId="0" applyFont="1" applyBorder="1" applyAlignment="1">
      <alignment horizontal="center" vertical="center"/>
    </xf>
    <xf numFmtId="0" fontId="12" fillId="5" borderId="9" xfId="0" applyFont="1" applyFill="1" applyBorder="1" applyAlignment="1">
      <alignment horizontal="center" vertical="center"/>
    </xf>
    <xf numFmtId="0" fontId="11" fillId="4" borderId="9" xfId="2" applyFont="1" applyBorder="1" applyAlignment="1">
      <alignment horizontal="center" vertical="center"/>
    </xf>
    <xf numFmtId="0" fontId="0" fillId="0" borderId="9" xfId="0" applyBorder="1" applyAlignment="1">
      <alignment horizontal="center" vertical="center"/>
    </xf>
    <xf numFmtId="0" fontId="0" fillId="7" borderId="9" xfId="0" applyFill="1" applyBorder="1" applyAlignment="1">
      <alignment horizontal="center" vertical="center"/>
    </xf>
    <xf numFmtId="1" fontId="12" fillId="5" borderId="9" xfId="0" applyNumberFormat="1" applyFont="1" applyFill="1" applyBorder="1" applyAlignment="1">
      <alignment horizontal="center" vertical="center"/>
    </xf>
    <xf numFmtId="0" fontId="0" fillId="0" borderId="9" xfId="0" applyBorder="1" applyAlignment="1">
      <alignment vertical="center"/>
    </xf>
    <xf numFmtId="0" fontId="13" fillId="0" borderId="9" xfId="0" applyFont="1" applyBorder="1"/>
    <xf numFmtId="0" fontId="3" fillId="0" borderId="18" xfId="0" applyFont="1" applyBorder="1"/>
    <xf numFmtId="0" fontId="3" fillId="0" borderId="19" xfId="0" applyFont="1" applyBorder="1"/>
    <xf numFmtId="0" fontId="0" fillId="0" borderId="18" xfId="0" applyBorder="1"/>
    <xf numFmtId="0" fontId="0" fillId="0" borderId="19" xfId="0" applyBorder="1"/>
    <xf numFmtId="0" fontId="13" fillId="0" borderId="19" xfId="0" applyFont="1" applyBorder="1"/>
    <xf numFmtId="0" fontId="13" fillId="0" borderId="21" xfId="0" applyFont="1" applyBorder="1"/>
    <xf numFmtId="0" fontId="3" fillId="0" borderId="22" xfId="0" applyFont="1" applyBorder="1"/>
    <xf numFmtId="0" fontId="0" fillId="0" borderId="22" xfId="0" applyBorder="1"/>
    <xf numFmtId="0" fontId="3" fillId="0" borderId="9" xfId="0" applyFont="1" applyBorder="1" applyAlignment="1">
      <alignment horizontal="left" vertical="top"/>
    </xf>
    <xf numFmtId="0" fontId="0" fillId="0" borderId="9" xfId="0" applyBorder="1" applyAlignment="1">
      <alignment horizontal="left" vertical="top"/>
    </xf>
    <xf numFmtId="0" fontId="4" fillId="0" borderId="9" xfId="0" applyFont="1" applyBorder="1" applyAlignment="1">
      <alignment horizontal="left" vertical="top"/>
    </xf>
    <xf numFmtId="0" fontId="4" fillId="0" borderId="9" xfId="0" applyFont="1" applyBorder="1" applyAlignment="1">
      <alignment horizontal="left" vertical="top" wrapText="1"/>
    </xf>
    <xf numFmtId="0" fontId="0" fillId="8" borderId="9" xfId="0" applyFill="1" applyBorder="1" applyAlignment="1">
      <alignment horizontal="left" vertical="top"/>
    </xf>
    <xf numFmtId="0" fontId="13" fillId="0" borderId="9" xfId="0" applyFont="1" applyBorder="1" applyAlignment="1">
      <alignment horizontal="left" vertical="top"/>
    </xf>
    <xf numFmtId="0" fontId="8" fillId="0" borderId="9" xfId="0" applyFont="1" applyBorder="1" applyAlignment="1">
      <alignment horizontal="left" vertical="top" wrapText="1"/>
    </xf>
    <xf numFmtId="0" fontId="13" fillId="0" borderId="9" xfId="0" applyFont="1" applyBorder="1" applyAlignment="1">
      <alignment horizontal="left" vertical="top" wrapText="1"/>
    </xf>
    <xf numFmtId="0" fontId="3" fillId="0" borderId="25" xfId="0" applyFont="1" applyBorder="1"/>
    <xf numFmtId="0" fontId="4" fillId="9" borderId="9" xfId="0" applyFont="1" applyFill="1" applyBorder="1" applyAlignment="1">
      <alignment horizontal="left" vertical="top"/>
    </xf>
    <xf numFmtId="0" fontId="13" fillId="9" borderId="9" xfId="0" applyFont="1" applyFill="1" applyBorder="1" applyAlignment="1">
      <alignment horizontal="left" vertical="top"/>
    </xf>
    <xf numFmtId="0" fontId="4" fillId="8" borderId="9" xfId="0" applyFont="1" applyFill="1" applyBorder="1" applyAlignment="1">
      <alignment horizontal="left" vertical="top"/>
    </xf>
    <xf numFmtId="0" fontId="4" fillId="8" borderId="9" xfId="0" applyFont="1" applyFill="1" applyBorder="1" applyAlignment="1">
      <alignment horizontal="left" vertical="top" wrapText="1"/>
    </xf>
    <xf numFmtId="0" fontId="13" fillId="8" borderId="9" xfId="0" applyFont="1" applyFill="1" applyBorder="1" applyAlignment="1">
      <alignment horizontal="left" vertical="top"/>
    </xf>
    <xf numFmtId="0" fontId="13" fillId="11" borderId="20" xfId="0" applyFont="1" applyFill="1" applyBorder="1" applyAlignment="1">
      <alignment horizontal="left" vertical="top" wrapText="1"/>
    </xf>
    <xf numFmtId="0" fontId="0" fillId="11" borderId="9" xfId="0" applyFill="1" applyBorder="1" applyAlignment="1">
      <alignment horizontal="left" vertical="top"/>
    </xf>
    <xf numFmtId="0" fontId="4" fillId="11" borderId="9" xfId="0" applyFont="1" applyFill="1" applyBorder="1" applyAlignment="1">
      <alignment horizontal="left" vertical="top"/>
    </xf>
    <xf numFmtId="0" fontId="4" fillId="11" borderId="9" xfId="0" applyFont="1" applyFill="1" applyBorder="1" applyAlignment="1">
      <alignment horizontal="left" vertical="top" wrapText="1"/>
    </xf>
    <xf numFmtId="0" fontId="19" fillId="9" borderId="0" xfId="0" applyFont="1" applyFill="1" applyAlignment="1">
      <alignment horizontal="center" vertical="center"/>
    </xf>
    <xf numFmtId="0" fontId="19" fillId="5" borderId="0" xfId="0" applyFont="1" applyFill="1" applyAlignment="1">
      <alignment horizontal="left" vertical="center"/>
    </xf>
    <xf numFmtId="0" fontId="18" fillId="0" borderId="0" xfId="0" applyFont="1" applyAlignment="1">
      <alignment horizontal="left" vertical="center"/>
    </xf>
    <xf numFmtId="0" fontId="19" fillId="11" borderId="0" xfId="0" applyFont="1" applyFill="1" applyAlignment="1">
      <alignment horizontal="left" vertical="center"/>
    </xf>
    <xf numFmtId="0" fontId="19" fillId="3" borderId="0" xfId="0" applyFont="1" applyFill="1" applyAlignment="1">
      <alignment horizontal="left" vertical="center"/>
    </xf>
    <xf numFmtId="0" fontId="17" fillId="0" borderId="0" xfId="0" applyFont="1"/>
    <xf numFmtId="0" fontId="17" fillId="0" borderId="1" xfId="0" applyFont="1" applyBorder="1" applyAlignment="1">
      <alignment horizontal="center" vertical="center"/>
    </xf>
    <xf numFmtId="0" fontId="17" fillId="0" borderId="0" xfId="0" applyFont="1" applyAlignment="1">
      <alignment horizontal="center" vertical="center"/>
    </xf>
    <xf numFmtId="0" fontId="2" fillId="0" borderId="0" xfId="0" applyFont="1"/>
    <xf numFmtId="0" fontId="17" fillId="0" borderId="2" xfId="0" applyFont="1" applyBorder="1"/>
    <xf numFmtId="0" fontId="17" fillId="0" borderId="2" xfId="0" applyFont="1" applyBorder="1" applyAlignment="1">
      <alignment wrapText="1"/>
    </xf>
    <xf numFmtId="0" fontId="17" fillId="0" borderId="2" xfId="0" applyFont="1" applyBorder="1" applyAlignment="1">
      <alignment horizontal="center" vertical="center"/>
    </xf>
    <xf numFmtId="0" fontId="17" fillId="3" borderId="2" xfId="0" applyFont="1" applyFill="1" applyBorder="1" applyAlignment="1">
      <alignment horizontal="center" vertical="center"/>
    </xf>
    <xf numFmtId="0" fontId="17" fillId="3" borderId="12" xfId="0" applyFont="1" applyFill="1" applyBorder="1" applyAlignment="1">
      <alignment horizontal="center" vertical="center"/>
    </xf>
    <xf numFmtId="0" fontId="17" fillId="5" borderId="16" xfId="0" applyFont="1" applyFill="1" applyBorder="1" applyAlignment="1">
      <alignment horizontal="center" vertical="center"/>
    </xf>
    <xf numFmtId="1" fontId="21" fillId="5" borderId="9" xfId="0" applyNumberFormat="1" applyFont="1" applyFill="1" applyBorder="1" applyAlignment="1">
      <alignment horizontal="center" vertical="center"/>
    </xf>
    <xf numFmtId="0" fontId="17" fillId="0" borderId="12" xfId="0" applyFont="1" applyBorder="1" applyAlignment="1">
      <alignment horizontal="left" vertical="top"/>
    </xf>
    <xf numFmtId="0" fontId="5" fillId="0" borderId="1" xfId="0" applyFont="1" applyBorder="1" applyAlignment="1">
      <alignment horizontal="left" vertical="top" wrapText="1"/>
    </xf>
    <xf numFmtId="0" fontId="2" fillId="0" borderId="0" xfId="0" applyFont="1" applyAlignment="1">
      <alignment horizontal="left" vertical="top" wrapText="1"/>
    </xf>
    <xf numFmtId="0" fontId="3" fillId="7" borderId="9" xfId="0" applyFont="1" applyFill="1" applyBorder="1" applyAlignment="1">
      <alignment horizontal="center" vertical="center"/>
    </xf>
    <xf numFmtId="0" fontId="3" fillId="7" borderId="1" xfId="0" applyFont="1" applyFill="1" applyBorder="1" applyAlignment="1">
      <alignment horizontal="center" vertical="center"/>
    </xf>
    <xf numFmtId="0" fontId="0" fillId="13" borderId="29" xfId="0" applyFill="1" applyBorder="1"/>
    <xf numFmtId="0" fontId="0" fillId="13" borderId="30" xfId="0" applyFill="1" applyBorder="1"/>
    <xf numFmtId="0" fontId="0" fillId="13" borderId="31" xfId="0" applyFill="1" applyBorder="1"/>
    <xf numFmtId="0" fontId="22" fillId="13" borderId="0" xfId="0" applyFont="1" applyFill="1"/>
    <xf numFmtId="0" fontId="0" fillId="13" borderId="0" xfId="0" applyFill="1"/>
    <xf numFmtId="0" fontId="0" fillId="13" borderId="33" xfId="0" applyFill="1" applyBorder="1"/>
    <xf numFmtId="0" fontId="0" fillId="13" borderId="32" xfId="0" applyFill="1" applyBorder="1"/>
    <xf numFmtId="0" fontId="0" fillId="13" borderId="34" xfId="0" applyFill="1" applyBorder="1"/>
    <xf numFmtId="0" fontId="0" fillId="13" borderId="35" xfId="0" applyFill="1" applyBorder="1"/>
    <xf numFmtId="0" fontId="0" fillId="13" borderId="36" xfId="0" applyFill="1" applyBorder="1"/>
    <xf numFmtId="0" fontId="22" fillId="12" borderId="32" xfId="0" applyFont="1" applyFill="1" applyBorder="1" applyAlignment="1">
      <alignment horizontal="center" vertical="center"/>
    </xf>
    <xf numFmtId="0" fontId="24" fillId="0" borderId="0" xfId="0" applyFont="1" applyAlignment="1">
      <alignment horizontal="left" vertical="center"/>
    </xf>
    <xf numFmtId="0" fontId="24" fillId="5" borderId="0" xfId="0" applyFont="1" applyFill="1" applyAlignment="1">
      <alignment horizontal="center" vertical="center"/>
    </xf>
    <xf numFmtId="0" fontId="24" fillId="11" borderId="0" xfId="0" applyFont="1" applyFill="1" applyAlignment="1">
      <alignment horizontal="center" vertical="center"/>
    </xf>
    <xf numFmtId="0" fontId="24" fillId="3" borderId="0" xfId="0" applyFont="1" applyFill="1" applyAlignment="1">
      <alignment horizontal="center" vertical="center"/>
    </xf>
    <xf numFmtId="0" fontId="24" fillId="9" borderId="0" xfId="0" applyFont="1" applyFill="1" applyAlignment="1">
      <alignment horizontal="center" vertical="center"/>
    </xf>
    <xf numFmtId="0" fontId="24" fillId="0" borderId="27" xfId="0" applyFont="1" applyBorder="1" applyAlignment="1">
      <alignment horizontal="left" vertical="center"/>
    </xf>
    <xf numFmtId="0" fontId="25" fillId="0" borderId="27" xfId="0" applyFont="1" applyBorder="1" applyAlignment="1">
      <alignment horizontal="center" vertical="center"/>
    </xf>
    <xf numFmtId="1" fontId="26" fillId="0" borderId="27" xfId="0" applyNumberFormat="1" applyFont="1" applyBorder="1" applyAlignment="1">
      <alignment horizontal="center" vertical="center"/>
    </xf>
    <xf numFmtId="1" fontId="27" fillId="0" borderId="27" xfId="0" applyNumberFormat="1" applyFont="1" applyBorder="1" applyAlignment="1">
      <alignment horizontal="center" vertical="center"/>
    </xf>
    <xf numFmtId="1" fontId="28" fillId="0" borderId="27" xfId="0" applyNumberFormat="1" applyFont="1" applyBorder="1" applyAlignment="1">
      <alignment horizontal="center" vertical="center"/>
    </xf>
    <xf numFmtId="0" fontId="24" fillId="0" borderId="28" xfId="0" applyFont="1" applyBorder="1" applyAlignment="1">
      <alignment horizontal="left" vertical="center"/>
    </xf>
    <xf numFmtId="0" fontId="25" fillId="0" borderId="28" xfId="0" applyFont="1" applyBorder="1" applyAlignment="1">
      <alignment horizontal="center" vertical="center"/>
    </xf>
    <xf numFmtId="1" fontId="26" fillId="0" borderId="28" xfId="0" applyNumberFormat="1" applyFont="1" applyBorder="1" applyAlignment="1">
      <alignment horizontal="center" vertical="center"/>
    </xf>
    <xf numFmtId="1" fontId="27" fillId="0" borderId="28" xfId="0" applyNumberFormat="1" applyFont="1" applyBorder="1" applyAlignment="1">
      <alignment horizontal="center" vertical="center"/>
    </xf>
    <xf numFmtId="1" fontId="28" fillId="0" borderId="28" xfId="0" applyNumberFormat="1" applyFont="1" applyBorder="1" applyAlignment="1">
      <alignment horizontal="center" vertical="center"/>
    </xf>
    <xf numFmtId="0" fontId="29" fillId="0" borderId="26" xfId="0" applyFont="1" applyBorder="1" applyAlignment="1">
      <alignment horizontal="center" vertical="center"/>
    </xf>
    <xf numFmtId="1" fontId="30" fillId="0" borderId="26" xfId="0" applyNumberFormat="1" applyFont="1" applyBorder="1" applyAlignment="1">
      <alignment horizontal="center" vertical="center"/>
    </xf>
    <xf numFmtId="1" fontId="31" fillId="0" borderId="26" xfId="0" applyNumberFormat="1" applyFont="1" applyBorder="1" applyAlignment="1">
      <alignment horizontal="center" vertical="center"/>
    </xf>
    <xf numFmtId="1" fontId="32" fillId="0" borderId="26" xfId="0" applyNumberFormat="1" applyFont="1" applyBorder="1" applyAlignment="1">
      <alignment horizontal="center" vertical="center"/>
    </xf>
    <xf numFmtId="0" fontId="33" fillId="0" borderId="27" xfId="0" applyFont="1" applyBorder="1" applyAlignment="1">
      <alignment horizontal="center" vertical="center"/>
    </xf>
    <xf numFmtId="0" fontId="33" fillId="0" borderId="28" xfId="0" applyFont="1" applyBorder="1" applyAlignment="1">
      <alignment horizontal="center" vertical="center"/>
    </xf>
    <xf numFmtId="0" fontId="23" fillId="0" borderId="0" xfId="0" applyFont="1" applyAlignment="1">
      <alignment horizontal="center" vertical="center"/>
    </xf>
    <xf numFmtId="0" fontId="34" fillId="0" borderId="0" xfId="0" applyFont="1"/>
    <xf numFmtId="0" fontId="0" fillId="14" borderId="1" xfId="0" applyFill="1" applyBorder="1"/>
    <xf numFmtId="1" fontId="12" fillId="5" borderId="0" xfId="0" applyNumberFormat="1" applyFont="1" applyFill="1" applyAlignment="1">
      <alignment horizontal="center" vertical="center"/>
    </xf>
    <xf numFmtId="0" fontId="34" fillId="5" borderId="0" xfId="0" applyFont="1" applyFill="1" applyAlignment="1">
      <alignment horizontal="center" vertical="center"/>
    </xf>
    <xf numFmtId="164" fontId="34" fillId="5" borderId="9" xfId="0" applyNumberFormat="1" applyFont="1" applyFill="1" applyBorder="1" applyAlignment="1">
      <alignment horizontal="center" vertical="center"/>
    </xf>
    <xf numFmtId="0" fontId="34" fillId="5" borderId="9" xfId="0" applyFont="1" applyFill="1" applyBorder="1" applyAlignment="1">
      <alignment horizontal="center" vertical="center"/>
    </xf>
    <xf numFmtId="0" fontId="17" fillId="5" borderId="39" xfId="0" applyFont="1" applyFill="1" applyBorder="1" applyAlignment="1">
      <alignment horizontal="center" vertical="center"/>
    </xf>
    <xf numFmtId="1" fontId="34" fillId="5" borderId="40" xfId="0" applyNumberFormat="1" applyFont="1" applyFill="1" applyBorder="1" applyAlignment="1">
      <alignment horizontal="center" vertical="center"/>
    </xf>
    <xf numFmtId="1" fontId="0" fillId="5" borderId="9" xfId="0" applyNumberFormat="1" applyFill="1" applyBorder="1" applyAlignment="1">
      <alignment horizontal="center" vertical="center"/>
    </xf>
    <xf numFmtId="1" fontId="21" fillId="5" borderId="42" xfId="0" applyNumberFormat="1" applyFont="1" applyFill="1" applyBorder="1" applyAlignment="1">
      <alignment horizontal="center" vertical="center"/>
    </xf>
    <xf numFmtId="0" fontId="12" fillId="6" borderId="0" xfId="0" applyFont="1" applyFill="1" applyAlignment="1">
      <alignment horizontal="center" vertical="center"/>
    </xf>
    <xf numFmtId="0" fontId="0" fillId="0" borderId="9" xfId="0" applyBorder="1" applyAlignment="1">
      <alignment horizontal="left" vertical="center"/>
    </xf>
    <xf numFmtId="0" fontId="3" fillId="5" borderId="9" xfId="0" applyFont="1" applyFill="1" applyBorder="1" applyAlignment="1">
      <alignment horizontal="center" vertical="center"/>
    </xf>
    <xf numFmtId="0" fontId="12" fillId="6" borderId="9" xfId="0" applyFont="1" applyFill="1" applyBorder="1" applyAlignment="1">
      <alignment horizontal="center" vertical="center"/>
    </xf>
    <xf numFmtId="1" fontId="12" fillId="6" borderId="9" xfId="0" applyNumberFormat="1" applyFont="1" applyFill="1" applyBorder="1" applyAlignment="1">
      <alignment horizontal="center" vertical="center"/>
    </xf>
    <xf numFmtId="1" fontId="0" fillId="5" borderId="43" xfId="0" applyNumberFormat="1" applyFill="1" applyBorder="1" applyAlignment="1">
      <alignment horizontal="center" vertical="center"/>
    </xf>
    <xf numFmtId="1" fontId="12" fillId="5" borderId="40" xfId="0" applyNumberFormat="1" applyFont="1" applyFill="1" applyBorder="1" applyAlignment="1">
      <alignment horizontal="center" vertical="center"/>
    </xf>
    <xf numFmtId="1" fontId="34" fillId="6" borderId="9" xfId="0" applyNumberFormat="1" applyFont="1" applyFill="1" applyBorder="1" applyAlignment="1">
      <alignment horizontal="center" vertical="center"/>
    </xf>
    <xf numFmtId="164" fontId="34" fillId="6" borderId="9" xfId="0" applyNumberFormat="1" applyFont="1" applyFill="1" applyBorder="1" applyAlignment="1">
      <alignment horizontal="center" vertical="center"/>
    </xf>
    <xf numFmtId="1" fontId="34" fillId="6" borderId="40" xfId="0" applyNumberFormat="1" applyFont="1" applyFill="1" applyBorder="1" applyAlignment="1">
      <alignment horizontal="center" vertical="center"/>
    </xf>
    <xf numFmtId="164" fontId="34" fillId="6" borderId="40" xfId="0" applyNumberFormat="1" applyFont="1" applyFill="1" applyBorder="1" applyAlignment="1">
      <alignment horizontal="center" vertical="center"/>
    </xf>
    <xf numFmtId="1" fontId="34" fillId="6" borderId="42" xfId="0" applyNumberFormat="1" applyFont="1" applyFill="1" applyBorder="1" applyAlignment="1">
      <alignment horizontal="center" vertical="center"/>
    </xf>
    <xf numFmtId="164" fontId="34" fillId="6" borderId="42" xfId="0" applyNumberFormat="1" applyFont="1" applyFill="1" applyBorder="1" applyAlignment="1">
      <alignment horizontal="center" vertical="center"/>
    </xf>
    <xf numFmtId="16" fontId="35" fillId="15" borderId="40" xfId="0" applyNumberFormat="1" applyFont="1" applyFill="1" applyBorder="1"/>
    <xf numFmtId="0" fontId="36" fillId="2" borderId="1" xfId="0" applyFont="1" applyFill="1" applyBorder="1"/>
    <xf numFmtId="0" fontId="4" fillId="0" borderId="1" xfId="0" applyFont="1" applyBorder="1"/>
    <xf numFmtId="0" fontId="37" fillId="0" borderId="0" xfId="0" applyFont="1"/>
    <xf numFmtId="164" fontId="12" fillId="5" borderId="0" xfId="0" applyNumberFormat="1" applyFont="1" applyFill="1" applyAlignment="1">
      <alignment horizontal="center" vertical="center"/>
    </xf>
    <xf numFmtId="164" fontId="0" fillId="0" borderId="0" xfId="0" applyNumberFormat="1"/>
    <xf numFmtId="0" fontId="38" fillId="16" borderId="0" xfId="0" applyFont="1" applyFill="1" applyAlignment="1">
      <alignment horizontal="center" vertical="center"/>
    </xf>
    <xf numFmtId="1" fontId="39" fillId="0" borderId="27" xfId="0" applyNumberFormat="1" applyFont="1" applyBorder="1" applyAlignment="1">
      <alignment horizontal="center" vertical="center"/>
    </xf>
    <xf numFmtId="1" fontId="40" fillId="0" borderId="26" xfId="0" applyNumberFormat="1" applyFont="1" applyBorder="1" applyAlignment="1">
      <alignment horizontal="center" vertical="center"/>
    </xf>
    <xf numFmtId="0" fontId="41" fillId="0" borderId="1" xfId="0" applyFont="1" applyBorder="1" applyAlignment="1">
      <alignment wrapText="1"/>
    </xf>
    <xf numFmtId="164" fontId="12" fillId="6" borderId="0" xfId="0" applyNumberFormat="1" applyFont="1" applyFill="1" applyAlignment="1">
      <alignment horizontal="center" vertical="center"/>
    </xf>
    <xf numFmtId="0" fontId="41" fillId="0" borderId="1" xfId="0" applyFont="1" applyBorder="1" applyAlignment="1">
      <alignment horizontal="left" vertical="top" wrapText="1"/>
    </xf>
    <xf numFmtId="0" fontId="4" fillId="17" borderId="1" xfId="0" applyFont="1" applyFill="1" applyBorder="1" applyAlignment="1">
      <alignment horizontal="left" vertical="top" wrapText="1"/>
    </xf>
    <xf numFmtId="0" fontId="0" fillId="17" borderId="1" xfId="0" applyFill="1" applyBorder="1" applyAlignment="1">
      <alignment horizontal="left" vertical="top"/>
    </xf>
    <xf numFmtId="0" fontId="5" fillId="13" borderId="1" xfId="0" applyFont="1" applyFill="1" applyBorder="1" applyAlignment="1">
      <alignment horizontal="left" vertical="top" wrapText="1"/>
    </xf>
    <xf numFmtId="22" fontId="0" fillId="0" borderId="0" xfId="0" applyNumberFormat="1"/>
    <xf numFmtId="165" fontId="0" fillId="0" borderId="9" xfId="0" applyNumberFormat="1" applyBorder="1" applyAlignment="1">
      <alignment horizontal="center" vertical="center"/>
    </xf>
    <xf numFmtId="165" fontId="34" fillId="5" borderId="9" xfId="0" applyNumberFormat="1" applyFont="1" applyFill="1" applyBorder="1" applyAlignment="1">
      <alignment horizontal="center" vertical="center"/>
    </xf>
    <xf numFmtId="165" fontId="0" fillId="0" borderId="0" xfId="0" applyNumberFormat="1"/>
    <xf numFmtId="0" fontId="11" fillId="11" borderId="9" xfId="2" applyFont="1" applyFill="1" applyBorder="1" applyAlignment="1">
      <alignment horizontal="center" vertical="center"/>
    </xf>
    <xf numFmtId="165" fontId="34" fillId="5" borderId="40" xfId="0" applyNumberFormat="1" applyFont="1" applyFill="1" applyBorder="1" applyAlignment="1">
      <alignment horizontal="center" vertical="center"/>
    </xf>
    <xf numFmtId="165" fontId="34" fillId="5" borderId="42" xfId="0" applyNumberFormat="1" applyFont="1" applyFill="1" applyBorder="1" applyAlignment="1">
      <alignment horizontal="center" vertical="center"/>
    </xf>
    <xf numFmtId="165" fontId="12" fillId="5" borderId="9" xfId="0" applyNumberFormat="1" applyFont="1" applyFill="1" applyBorder="1" applyAlignment="1">
      <alignment horizontal="center" vertical="center"/>
    </xf>
    <xf numFmtId="165" fontId="2" fillId="0" borderId="0" xfId="0" applyNumberFormat="1" applyFont="1"/>
    <xf numFmtId="165" fontId="12" fillId="5" borderId="0" xfId="0" applyNumberFormat="1" applyFont="1" applyFill="1" applyAlignment="1">
      <alignment horizontal="center" vertical="center"/>
    </xf>
    <xf numFmtId="1" fontId="21" fillId="7" borderId="9" xfId="0" applyNumberFormat="1" applyFont="1" applyFill="1" applyBorder="1" applyAlignment="1">
      <alignment horizontal="center" vertical="center"/>
    </xf>
    <xf numFmtId="165" fontId="34" fillId="7" borderId="9" xfId="0" applyNumberFormat="1" applyFont="1" applyFill="1" applyBorder="1" applyAlignment="1">
      <alignment horizontal="center" vertical="center"/>
    </xf>
    <xf numFmtId="164" fontId="34" fillId="7" borderId="40" xfId="0" applyNumberFormat="1" applyFont="1" applyFill="1" applyBorder="1" applyAlignment="1">
      <alignment horizontal="center" vertical="center"/>
    </xf>
    <xf numFmtId="16" fontId="35" fillId="7" borderId="40" xfId="0" applyNumberFormat="1" applyFont="1" applyFill="1" applyBorder="1"/>
    <xf numFmtId="164" fontId="12" fillId="5" borderId="9" xfId="0" applyNumberFormat="1" applyFont="1" applyFill="1" applyBorder="1" applyAlignment="1">
      <alignment horizontal="center" vertical="center"/>
    </xf>
    <xf numFmtId="165" fontId="0" fillId="2" borderId="9" xfId="0" applyNumberFormat="1" applyFill="1" applyBorder="1" applyAlignment="1">
      <alignment horizontal="center" vertical="center"/>
    </xf>
    <xf numFmtId="0" fontId="33" fillId="0" borderId="0" xfId="0" applyFont="1" applyAlignment="1">
      <alignment horizontal="center" vertical="center"/>
    </xf>
    <xf numFmtId="1" fontId="26" fillId="0" borderId="0" xfId="0" applyNumberFormat="1" applyFont="1" applyAlignment="1">
      <alignment horizontal="center" vertical="center"/>
    </xf>
    <xf numFmtId="1" fontId="27" fillId="0" borderId="0" xfId="0" applyNumberFormat="1" applyFont="1" applyAlignment="1">
      <alignment horizontal="center" vertical="center"/>
    </xf>
    <xf numFmtId="1" fontId="28" fillId="0" borderId="0" xfId="0" applyNumberFormat="1" applyFont="1" applyAlignment="1">
      <alignment horizontal="center" vertical="center"/>
    </xf>
    <xf numFmtId="1" fontId="39" fillId="0" borderId="0" xfId="0" applyNumberFormat="1" applyFont="1" applyAlignment="1">
      <alignment horizontal="center" vertical="center"/>
    </xf>
    <xf numFmtId="1" fontId="25" fillId="0" borderId="0" xfId="0" applyNumberFormat="1" applyFont="1" applyAlignment="1">
      <alignment horizontal="center" vertical="center"/>
    </xf>
    <xf numFmtId="1" fontId="29" fillId="0" borderId="26" xfId="0" applyNumberFormat="1" applyFont="1" applyBorder="1" applyAlignment="1">
      <alignment horizontal="center" vertical="center"/>
    </xf>
    <xf numFmtId="0" fontId="42" fillId="0" borderId="0" xfId="0" applyFont="1"/>
    <xf numFmtId="164" fontId="34" fillId="2" borderId="9" xfId="0" applyNumberFormat="1" applyFont="1" applyFill="1" applyBorder="1" applyAlignment="1">
      <alignment horizontal="center" vertical="center"/>
    </xf>
    <xf numFmtId="0" fontId="5" fillId="0" borderId="1" xfId="0" applyFont="1" applyBorder="1"/>
    <xf numFmtId="0" fontId="0" fillId="2" borderId="7" xfId="0" applyFill="1" applyBorder="1" applyAlignment="1">
      <alignment horizontal="left" vertical="center" wrapText="1"/>
    </xf>
    <xf numFmtId="0" fontId="4" fillId="2" borderId="1" xfId="0" applyFont="1" applyFill="1" applyBorder="1" applyAlignment="1">
      <alignment horizontal="left" wrapText="1"/>
    </xf>
    <xf numFmtId="0" fontId="0" fillId="2" borderId="1" xfId="0" applyFill="1" applyBorder="1" applyAlignment="1">
      <alignment vertical="center" wrapText="1"/>
    </xf>
    <xf numFmtId="0" fontId="3" fillId="0" borderId="0" xfId="0" applyFont="1" applyAlignment="1">
      <alignment horizontal="center"/>
    </xf>
    <xf numFmtId="0" fontId="43" fillId="17" borderId="1" xfId="3" applyFill="1" applyBorder="1" applyAlignment="1">
      <alignment horizontal="left" vertical="top"/>
    </xf>
    <xf numFmtId="0" fontId="43" fillId="0" borderId="1" xfId="3" applyBorder="1" applyAlignment="1">
      <alignment horizontal="left" vertical="top"/>
    </xf>
    <xf numFmtId="0" fontId="43" fillId="0" borderId="1" xfId="3" applyBorder="1" applyAlignment="1">
      <alignment horizontal="left" vertical="top" wrapText="1"/>
    </xf>
    <xf numFmtId="0" fontId="43" fillId="0" borderId="0" xfId="3"/>
    <xf numFmtId="0" fontId="3" fillId="0" borderId="45" xfId="0" applyFont="1" applyBorder="1" applyAlignment="1">
      <alignment horizontal="center"/>
    </xf>
    <xf numFmtId="0" fontId="3" fillId="0" borderId="10" xfId="0" applyFont="1" applyBorder="1" applyAlignment="1">
      <alignment horizontal="left" vertical="top"/>
    </xf>
    <xf numFmtId="0" fontId="0" fillId="11" borderId="10" xfId="0" applyFill="1" applyBorder="1" applyAlignment="1">
      <alignment horizontal="left" vertical="top"/>
    </xf>
    <xf numFmtId="0" fontId="4" fillId="11" borderId="10" xfId="0" applyFont="1" applyFill="1" applyBorder="1" applyAlignment="1">
      <alignment horizontal="left" vertical="top"/>
    </xf>
    <xf numFmtId="0" fontId="0" fillId="8" borderId="10" xfId="0" applyFill="1" applyBorder="1" applyAlignment="1">
      <alignment horizontal="left" vertical="top"/>
    </xf>
    <xf numFmtId="0" fontId="4" fillId="8" borderId="10" xfId="0" applyFont="1" applyFill="1" applyBorder="1" applyAlignment="1">
      <alignment horizontal="left" vertical="top" wrapText="1"/>
    </xf>
    <xf numFmtId="0" fontId="4" fillId="11" borderId="10" xfId="0" applyFont="1" applyFill="1" applyBorder="1" applyAlignment="1">
      <alignment horizontal="left" vertical="top" wrapText="1"/>
    </xf>
    <xf numFmtId="0" fontId="4" fillId="0" borderId="10" xfId="0" applyFont="1" applyBorder="1" applyAlignment="1">
      <alignment horizontal="left" vertical="top" wrapText="1"/>
    </xf>
    <xf numFmtId="0" fontId="4" fillId="8" borderId="10" xfId="0" applyFont="1" applyFill="1" applyBorder="1" applyAlignment="1">
      <alignment horizontal="left" vertical="top"/>
    </xf>
    <xf numFmtId="0" fontId="0" fillId="0" borderId="10" xfId="0" applyBorder="1" applyAlignment="1">
      <alignment horizontal="left" vertical="top"/>
    </xf>
    <xf numFmtId="0" fontId="8" fillId="0" borderId="10" xfId="0" applyFont="1" applyBorder="1" applyAlignment="1">
      <alignment horizontal="left" vertical="top" wrapText="1"/>
    </xf>
    <xf numFmtId="0" fontId="13" fillId="0" borderId="10" xfId="0" applyFont="1" applyBorder="1" applyAlignment="1">
      <alignment horizontal="left" vertical="top" wrapText="1"/>
    </xf>
    <xf numFmtId="0" fontId="13" fillId="8" borderId="10" xfId="0" applyFont="1" applyFill="1" applyBorder="1" applyAlignment="1">
      <alignment horizontal="left" vertical="top"/>
    </xf>
    <xf numFmtId="0" fontId="13" fillId="11" borderId="46" xfId="0" applyFont="1" applyFill="1" applyBorder="1" applyAlignment="1">
      <alignment horizontal="left" vertical="top" wrapText="1"/>
    </xf>
    <xf numFmtId="0" fontId="43" fillId="0" borderId="10" xfId="3" applyBorder="1" applyAlignment="1">
      <alignment horizontal="left" vertical="top"/>
    </xf>
    <xf numFmtId="0" fontId="43" fillId="9" borderId="10" xfId="3" applyFill="1" applyBorder="1" applyAlignment="1">
      <alignment horizontal="left" vertical="top"/>
    </xf>
    <xf numFmtId="0" fontId="4" fillId="2" borderId="10" xfId="0" applyFont="1" applyFill="1" applyBorder="1" applyAlignment="1">
      <alignment horizontal="left" vertical="top"/>
    </xf>
    <xf numFmtId="0" fontId="43" fillId="0" borderId="1" xfId="3" applyBorder="1"/>
    <xf numFmtId="0" fontId="43" fillId="8" borderId="1" xfId="3" applyFill="1" applyBorder="1"/>
    <xf numFmtId="0" fontId="43" fillId="0" borderId="1" xfId="3" applyFill="1" applyBorder="1" applyAlignment="1">
      <alignment wrapText="1"/>
    </xf>
    <xf numFmtId="0" fontId="43" fillId="0" borderId="1" xfId="3" applyFill="1" applyBorder="1"/>
    <xf numFmtId="0" fontId="17" fillId="0" borderId="0" xfId="0" applyFont="1" applyAlignment="1">
      <alignment horizontal="center"/>
    </xf>
    <xf numFmtId="0" fontId="43" fillId="2" borderId="1" xfId="3" applyFill="1" applyBorder="1" applyAlignment="1">
      <alignment horizontal="left" vertical="top" wrapText="1"/>
    </xf>
    <xf numFmtId="0" fontId="43" fillId="2" borderId="10" xfId="3" applyFill="1" applyBorder="1" applyAlignment="1">
      <alignment horizontal="left" vertical="top"/>
    </xf>
    <xf numFmtId="0" fontId="43" fillId="2" borderId="10" xfId="3" applyFill="1" applyBorder="1" applyAlignment="1">
      <alignment horizontal="left" vertical="top" wrapText="1"/>
    </xf>
    <xf numFmtId="0" fontId="43" fillId="2" borderId="1" xfId="3" applyFill="1" applyBorder="1" applyAlignment="1">
      <alignment wrapText="1"/>
    </xf>
    <xf numFmtId="0" fontId="43" fillId="2" borderId="1" xfId="3" applyFill="1" applyBorder="1" applyAlignment="1">
      <alignment horizontal="left" vertical="top"/>
    </xf>
    <xf numFmtId="0" fontId="0" fillId="0" borderId="1" xfId="0" applyBorder="1" applyAlignment="1">
      <alignment horizontal="left" vertical="center"/>
    </xf>
    <xf numFmtId="0" fontId="0" fillId="0" borderId="1" xfId="0" applyBorder="1" applyAlignment="1">
      <alignment horizontal="left" vertical="center" wrapText="1"/>
    </xf>
    <xf numFmtId="0" fontId="4" fillId="0" borderId="1" xfId="0" applyFont="1" applyBorder="1" applyAlignment="1">
      <alignment horizontal="left" vertical="center" wrapText="1"/>
    </xf>
    <xf numFmtId="0" fontId="0" fillId="2" borderId="2" xfId="0" applyFill="1" applyBorder="1" applyAlignment="1">
      <alignment horizontal="left" vertical="center" wrapText="1"/>
    </xf>
    <xf numFmtId="0" fontId="0" fillId="2" borderId="7" xfId="0" applyFill="1" applyBorder="1" applyAlignment="1">
      <alignment horizontal="left" vertical="center" wrapText="1"/>
    </xf>
    <xf numFmtId="0" fontId="0" fillId="0" borderId="2" xfId="0" applyBorder="1" applyAlignment="1">
      <alignment horizontal="left" vertical="center"/>
    </xf>
    <xf numFmtId="0" fontId="0" fillId="0" borderId="17" xfId="0" applyBorder="1" applyAlignment="1">
      <alignment horizontal="left" vertical="center"/>
    </xf>
    <xf numFmtId="0" fontId="0" fillId="0" borderId="7" xfId="0" applyBorder="1" applyAlignment="1">
      <alignment horizontal="left" vertical="center"/>
    </xf>
    <xf numFmtId="0" fontId="11" fillId="4" borderId="37" xfId="2" applyFont="1" applyBorder="1" applyAlignment="1">
      <alignment horizontal="center" vertical="center"/>
    </xf>
    <xf numFmtId="0" fontId="11" fillId="4" borderId="0" xfId="2" applyFont="1" applyBorder="1" applyAlignment="1">
      <alignment horizontal="center" vertical="center"/>
    </xf>
    <xf numFmtId="0" fontId="3" fillId="0" borderId="15" xfId="0" applyFont="1" applyBorder="1" applyAlignment="1">
      <alignment horizontal="center"/>
    </xf>
    <xf numFmtId="0" fontId="0" fillId="0" borderId="2" xfId="0" applyBorder="1" applyAlignment="1">
      <alignment horizontal="left" vertical="center" wrapText="1"/>
    </xf>
    <xf numFmtId="0" fontId="0" fillId="0" borderId="7" xfId="0" applyBorder="1" applyAlignment="1">
      <alignment horizontal="left" vertical="center" wrapText="1"/>
    </xf>
    <xf numFmtId="0" fontId="0" fillId="0" borderId="2" xfId="0" applyBorder="1" applyAlignment="1">
      <alignment vertical="center" wrapText="1"/>
    </xf>
    <xf numFmtId="0" fontId="0" fillId="0" borderId="17" xfId="0" applyBorder="1" applyAlignment="1">
      <alignment vertical="center" wrapText="1"/>
    </xf>
    <xf numFmtId="0" fontId="0" fillId="0" borderId="7" xfId="0" applyBorder="1" applyAlignment="1">
      <alignment vertical="center" wrapText="1"/>
    </xf>
    <xf numFmtId="0" fontId="3" fillId="3" borderId="15" xfId="0" applyFont="1" applyFill="1" applyBorder="1" applyAlignment="1">
      <alignment horizontal="center" vertical="center"/>
    </xf>
    <xf numFmtId="0" fontId="11" fillId="4" borderId="38" xfId="2" applyFont="1" applyBorder="1" applyAlignment="1">
      <alignment horizontal="center" vertical="center"/>
    </xf>
    <xf numFmtId="0" fontId="11" fillId="4" borderId="27" xfId="2" applyFont="1" applyBorder="1" applyAlignment="1">
      <alignment horizontal="center" vertical="center"/>
    </xf>
    <xf numFmtId="0" fontId="0" fillId="0" borderId="9" xfId="0" applyBorder="1" applyAlignment="1">
      <alignment horizontal="left" vertical="center"/>
    </xf>
    <xf numFmtId="0" fontId="3" fillId="3" borderId="0" xfId="0" applyFont="1" applyFill="1" applyAlignment="1">
      <alignment horizontal="center" vertical="center"/>
    </xf>
    <xf numFmtId="0" fontId="3" fillId="7" borderId="0" xfId="0" applyFont="1" applyFill="1" applyAlignment="1">
      <alignment horizontal="center" vertical="center"/>
    </xf>
    <xf numFmtId="0" fontId="3" fillId="0" borderId="23" xfId="0" applyFont="1" applyBorder="1" applyAlignment="1">
      <alignment horizontal="center"/>
    </xf>
    <xf numFmtId="0" fontId="3" fillId="0" borderId="24" xfId="0" applyFont="1" applyBorder="1" applyAlignment="1">
      <alignment horizontal="center"/>
    </xf>
    <xf numFmtId="0" fontId="0" fillId="0" borderId="9" xfId="0" applyBorder="1" applyAlignment="1">
      <alignment horizontal="center" vertical="center"/>
    </xf>
    <xf numFmtId="0" fontId="0" fillId="0" borderId="42" xfId="0" applyBorder="1" applyAlignment="1">
      <alignment horizontal="left" vertical="center"/>
    </xf>
    <xf numFmtId="0" fontId="0" fillId="0" borderId="44" xfId="0" applyBorder="1" applyAlignment="1">
      <alignment horizontal="left" vertical="center"/>
    </xf>
    <xf numFmtId="0" fontId="0" fillId="0" borderId="40" xfId="0" applyBorder="1" applyAlignment="1">
      <alignment horizontal="left" vertical="center"/>
    </xf>
    <xf numFmtId="165" fontId="11" fillId="4" borderId="37" xfId="2" applyNumberFormat="1" applyFont="1" applyBorder="1" applyAlignment="1">
      <alignment horizontal="center" vertical="center"/>
    </xf>
    <xf numFmtId="165" fontId="11" fillId="4" borderId="0" xfId="2" applyNumberFormat="1" applyFont="1" applyBorder="1" applyAlignment="1">
      <alignment horizontal="center" vertical="center"/>
    </xf>
    <xf numFmtId="165" fontId="20" fillId="4" borderId="37" xfId="2" applyNumberFormat="1" applyFont="1" applyBorder="1" applyAlignment="1">
      <alignment horizontal="center" vertical="center"/>
    </xf>
    <xf numFmtId="165" fontId="20" fillId="4" borderId="0" xfId="2" applyNumberFormat="1" applyFont="1" applyBorder="1" applyAlignment="1">
      <alignment horizontal="center" vertical="center"/>
    </xf>
    <xf numFmtId="0" fontId="17" fillId="3" borderId="15" xfId="0" applyFont="1" applyFill="1" applyBorder="1" applyAlignment="1">
      <alignment horizontal="center" vertical="center"/>
    </xf>
    <xf numFmtId="0" fontId="5" fillId="0" borderId="1" xfId="0" applyFont="1" applyBorder="1" applyAlignment="1">
      <alignment horizontal="center" vertical="center" wrapText="1"/>
    </xf>
    <xf numFmtId="0" fontId="17" fillId="0" borderId="15" xfId="0" applyFont="1" applyBorder="1" applyAlignment="1">
      <alignment horizontal="center"/>
    </xf>
    <xf numFmtId="0" fontId="0" fillId="0" borderId="4" xfId="0" applyBorder="1" applyAlignment="1">
      <alignment horizontal="left" vertical="center"/>
    </xf>
    <xf numFmtId="0" fontId="0" fillId="0" borderId="0" xfId="0" applyAlignment="1">
      <alignment horizontal="center"/>
    </xf>
    <xf numFmtId="0" fontId="1" fillId="0" borderId="0" xfId="0" applyFont="1"/>
    <xf numFmtId="0" fontId="1" fillId="0" borderId="1" xfId="0" applyFont="1" applyBorder="1"/>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left" vertical="top" wrapText="1"/>
    </xf>
    <xf numFmtId="0" fontId="1" fillId="0" borderId="11" xfId="0" applyFont="1" applyBorder="1"/>
    <xf numFmtId="0" fontId="1" fillId="0" borderId="8" xfId="0" applyFont="1" applyBorder="1"/>
    <xf numFmtId="0" fontId="1" fillId="7" borderId="1" xfId="0" applyFont="1" applyFill="1" applyBorder="1" applyAlignment="1">
      <alignment horizontal="center" vertical="center"/>
    </xf>
    <xf numFmtId="1" fontId="1" fillId="5" borderId="16" xfId="0" applyNumberFormat="1" applyFont="1" applyFill="1" applyBorder="1" applyAlignment="1">
      <alignment horizontal="center" vertical="center"/>
    </xf>
    <xf numFmtId="0" fontId="1" fillId="0" borderId="1" xfId="0" applyFont="1" applyBorder="1" applyAlignment="1">
      <alignment horizontal="left" vertical="center"/>
    </xf>
    <xf numFmtId="1" fontId="1" fillId="7" borderId="16" xfId="0" applyNumberFormat="1"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7" borderId="2" xfId="0" applyFont="1" applyFill="1" applyBorder="1" applyAlignment="1">
      <alignment horizontal="center" vertical="center"/>
    </xf>
    <xf numFmtId="1" fontId="1" fillId="5" borderId="41" xfId="0" applyNumberFormat="1" applyFont="1" applyFill="1" applyBorder="1" applyAlignment="1">
      <alignment horizontal="center" vertical="center"/>
    </xf>
    <xf numFmtId="0" fontId="1" fillId="0" borderId="0" xfId="0" applyFont="1" applyAlignment="1">
      <alignment horizontal="left" vertical="top" wrapText="1"/>
    </xf>
    <xf numFmtId="165" fontId="1" fillId="0" borderId="0" xfId="0" applyNumberFormat="1" applyFont="1"/>
  </cellXfs>
  <cellStyles count="4">
    <cellStyle name="Good" xfId="2" builtinId="26"/>
    <cellStyle name="Hyperlink" xfId="3"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octopusdtlsupport.atlassian.net/browse/O2-36" TargetMode="External"/><Relationship Id="rId13" Type="http://schemas.openxmlformats.org/officeDocument/2006/relationships/hyperlink" Target="https://octopusdtlsupport.atlassian.net/browse/O2-2278" TargetMode="External"/><Relationship Id="rId18" Type="http://schemas.openxmlformats.org/officeDocument/2006/relationships/printerSettings" Target="../printerSettings/printerSettings1.bin"/><Relationship Id="rId3" Type="http://schemas.openxmlformats.org/officeDocument/2006/relationships/hyperlink" Target="https://octopusdtlsupport.atlassian.net/browse/O2-2189" TargetMode="External"/><Relationship Id="rId7" Type="http://schemas.openxmlformats.org/officeDocument/2006/relationships/hyperlink" Target="https://octopusdtlsupport.atlassian.net/browse/O2-697" TargetMode="External"/><Relationship Id="rId12" Type="http://schemas.openxmlformats.org/officeDocument/2006/relationships/hyperlink" Target="https://octopusdtlsupport.atlassian.net/browse/O2-2277" TargetMode="External"/><Relationship Id="rId17" Type="http://schemas.openxmlformats.org/officeDocument/2006/relationships/hyperlink" Target="https://octopusdtlsupport.atlassian.net/browse/O2-2321" TargetMode="External"/><Relationship Id="rId2" Type="http://schemas.openxmlformats.org/officeDocument/2006/relationships/hyperlink" Target="https://octopusdtlsupport.atlassian.net/browse/O2-2188" TargetMode="External"/><Relationship Id="rId16" Type="http://schemas.openxmlformats.org/officeDocument/2006/relationships/hyperlink" Target="https://octopusdtlsupport.atlassian.net/browse/O2-2296" TargetMode="External"/><Relationship Id="rId1" Type="http://schemas.openxmlformats.org/officeDocument/2006/relationships/hyperlink" Target="https://octopusdtlsupport.atlassian.net/browse/O2-793" TargetMode="External"/><Relationship Id="rId6" Type="http://schemas.openxmlformats.org/officeDocument/2006/relationships/hyperlink" Target="https://octopusdtlsupport.atlassian.net/browse/O2-2186" TargetMode="External"/><Relationship Id="rId11" Type="http://schemas.openxmlformats.org/officeDocument/2006/relationships/hyperlink" Target="https://octopusdtlsupport.atlassian.net/browse/O2-2269" TargetMode="External"/><Relationship Id="rId5" Type="http://schemas.openxmlformats.org/officeDocument/2006/relationships/hyperlink" Target="https://octopusdtlsupport.atlassian.net/browse/O2-1991" TargetMode="External"/><Relationship Id="rId15" Type="http://schemas.openxmlformats.org/officeDocument/2006/relationships/hyperlink" Target="https://octopusdtlsupport.atlassian.net/browse/O2-2280" TargetMode="External"/><Relationship Id="rId10" Type="http://schemas.openxmlformats.org/officeDocument/2006/relationships/hyperlink" Target="https://octopusdtlsupport.atlassian.net/browse/O2-456" TargetMode="External"/><Relationship Id="rId4" Type="http://schemas.openxmlformats.org/officeDocument/2006/relationships/hyperlink" Target="https://octopusdtlsupport.atlassian.net/browse/O2-2190" TargetMode="External"/><Relationship Id="rId9" Type="http://schemas.openxmlformats.org/officeDocument/2006/relationships/hyperlink" Target="https://octopusdtlsupport.atlassian.net/browse/O2-1976" TargetMode="External"/><Relationship Id="rId14" Type="http://schemas.openxmlformats.org/officeDocument/2006/relationships/hyperlink" Target="https://octopusdtlsupport.atlassian.net/browse/O2-2279"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octopusdtlsupport.atlassian.net/browse/FF-542" TargetMode="External"/><Relationship Id="rId3" Type="http://schemas.openxmlformats.org/officeDocument/2006/relationships/hyperlink" Target="https://octopusdtlsupport.atlassian.net/browse/FF-517" TargetMode="External"/><Relationship Id="rId7" Type="http://schemas.openxmlformats.org/officeDocument/2006/relationships/hyperlink" Target="https://octopusdtlsupport.atlassian.net/browse/FF-274" TargetMode="External"/><Relationship Id="rId2" Type="http://schemas.openxmlformats.org/officeDocument/2006/relationships/hyperlink" Target="https://octopusdtlsupport.atlassian.net/browse/FF-512" TargetMode="External"/><Relationship Id="rId1" Type="http://schemas.openxmlformats.org/officeDocument/2006/relationships/hyperlink" Target="https://octopusdtlsupport.atlassian.net/browse/FF-446" TargetMode="External"/><Relationship Id="rId6" Type="http://schemas.openxmlformats.org/officeDocument/2006/relationships/hyperlink" Target="https://octopusdtlsupport.atlassian.net/browse/FF-498" TargetMode="External"/><Relationship Id="rId5" Type="http://schemas.openxmlformats.org/officeDocument/2006/relationships/hyperlink" Target="https://octopusdtlsupport.atlassian.net/browse/FF-312" TargetMode="External"/><Relationship Id="rId10" Type="http://schemas.openxmlformats.org/officeDocument/2006/relationships/printerSettings" Target="../printerSettings/printerSettings2.bin"/><Relationship Id="rId4" Type="http://schemas.openxmlformats.org/officeDocument/2006/relationships/hyperlink" Target="https://octopusdtlsupport.atlassian.net/browse/FF-302" TargetMode="External"/><Relationship Id="rId9" Type="http://schemas.openxmlformats.org/officeDocument/2006/relationships/hyperlink" Target="https://octopusdtlsupport.atlassian.net/browse/FF-541"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octopusdtlsupport.atlassian.net/browse/MN-31" TargetMode="External"/><Relationship Id="rId3" Type="http://schemas.openxmlformats.org/officeDocument/2006/relationships/hyperlink" Target="https://octopusdtlsupport.atlassian.net/browse/MN-75" TargetMode="External"/><Relationship Id="rId7" Type="http://schemas.openxmlformats.org/officeDocument/2006/relationships/hyperlink" Target="https://octopusdtlsupport.atlassian.net/browse/MN-32" TargetMode="External"/><Relationship Id="rId2" Type="http://schemas.openxmlformats.org/officeDocument/2006/relationships/hyperlink" Target="https://octopusdtlsupport.atlassian.net/browse/MN-30" TargetMode="External"/><Relationship Id="rId1" Type="http://schemas.openxmlformats.org/officeDocument/2006/relationships/hyperlink" Target="https://octopusdtlsupport.atlassian.net/browse/O2-1461" TargetMode="External"/><Relationship Id="rId6" Type="http://schemas.openxmlformats.org/officeDocument/2006/relationships/hyperlink" Target="https://octopusdtlsupport.atlassian.net/browse/MN-29" TargetMode="External"/><Relationship Id="rId11" Type="http://schemas.openxmlformats.org/officeDocument/2006/relationships/hyperlink" Target="https://octopusdtlsupport.atlassian.net/browse/MN-153" TargetMode="External"/><Relationship Id="rId5" Type="http://schemas.openxmlformats.org/officeDocument/2006/relationships/hyperlink" Target="https://octopusdtlsupport.atlassian.net/browse/MN-77" TargetMode="External"/><Relationship Id="rId10" Type="http://schemas.openxmlformats.org/officeDocument/2006/relationships/hyperlink" Target="https://octopusdtlsupport.atlassian.net/browse/MN-78" TargetMode="External"/><Relationship Id="rId4" Type="http://schemas.openxmlformats.org/officeDocument/2006/relationships/hyperlink" Target="https://octopusdtlsupport.atlassian.net/browse/MN-76" TargetMode="External"/><Relationship Id="rId9" Type="http://schemas.openxmlformats.org/officeDocument/2006/relationships/hyperlink" Target="https://octopusdtlsupport.atlassian.net/browse/MN-53"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octopusdtlsupport.atlassian.net/browse/DIGITALLOG-222" TargetMode="External"/><Relationship Id="rId2" Type="http://schemas.openxmlformats.org/officeDocument/2006/relationships/hyperlink" Target="https://octopusdtlsupport.atlassian.net/browse/DIGITALLOG-223" TargetMode="External"/><Relationship Id="rId1" Type="http://schemas.openxmlformats.org/officeDocument/2006/relationships/hyperlink" Target="https://octopusdtlsupport.atlassian.net/browse/DIGITALLOG-221" TargetMode="External"/><Relationship Id="rId4" Type="http://schemas.openxmlformats.org/officeDocument/2006/relationships/hyperlink" Target="https://octopusdtlsupport.atlassian.net/browse/DIGITALLOG-25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EDF38-272A-4572-ACF5-08B84FECCE5B}">
  <dimension ref="B2:H14"/>
  <sheetViews>
    <sheetView showGridLines="0" topLeftCell="A6" workbookViewId="0">
      <selection activeCell="D10" sqref="D10"/>
    </sheetView>
  </sheetViews>
  <sheetFormatPr defaultColWidth="24" defaultRowHeight="24.75" customHeight="1"/>
  <cols>
    <col min="3" max="3" width="41.42578125" customWidth="1"/>
    <col min="4" max="4" width="38.42578125" customWidth="1"/>
    <col min="5" max="5" width="48.85546875" customWidth="1"/>
    <col min="6" max="7" width="38.42578125" customWidth="1"/>
  </cols>
  <sheetData>
    <row r="2" spans="2:8" ht="24.75" customHeight="1">
      <c r="F2" s="114" t="s">
        <v>0</v>
      </c>
      <c r="G2" s="115" t="s">
        <v>1</v>
      </c>
    </row>
    <row r="3" spans="2:8" ht="24.75" customHeight="1">
      <c r="F3" s="116" t="s">
        <v>2</v>
      </c>
      <c r="G3" s="115" t="s">
        <v>3</v>
      </c>
    </row>
    <row r="4" spans="2:8" ht="24.75" customHeight="1">
      <c r="F4" s="117" t="s">
        <v>4</v>
      </c>
      <c r="G4" s="115" t="s">
        <v>5</v>
      </c>
    </row>
    <row r="5" spans="2:8" ht="17.25" customHeight="1">
      <c r="F5" s="113" t="s">
        <v>6</v>
      </c>
      <c r="G5" s="115" t="s">
        <v>7</v>
      </c>
    </row>
    <row r="6" spans="2:8" ht="30" customHeight="1">
      <c r="B6" s="228" t="s">
        <v>8</v>
      </c>
    </row>
    <row r="7" spans="2:8" ht="24.75" customHeight="1">
      <c r="E7" s="166" t="str">
        <f>"50%"</f>
        <v>50%</v>
      </c>
      <c r="F7" s="166" t="str">
        <f>"10%"</f>
        <v>10%</v>
      </c>
    </row>
    <row r="8" spans="2:8" ht="42.75" customHeight="1">
      <c r="B8" s="145" t="s">
        <v>9</v>
      </c>
      <c r="C8" s="145" t="s">
        <v>10</v>
      </c>
      <c r="D8" s="146" t="s">
        <v>11</v>
      </c>
      <c r="E8" s="147" t="str">
        <f>"Optimistic Man-days ("&amp;E7&amp;")"</f>
        <v>Optimistic Man-days (50%)</v>
      </c>
      <c r="F8" s="148" t="str">
        <f>"Pessimistic ("&amp; F7&amp;")"</f>
        <v>Pessimistic (10%)</v>
      </c>
      <c r="G8" s="149" t="s">
        <v>6</v>
      </c>
      <c r="H8" s="196" t="s">
        <v>12</v>
      </c>
    </row>
    <row r="9" spans="2:8" ht="42.75" customHeight="1">
      <c r="B9" s="164">
        <f>COUNTA('OmniConnect RMI'!D:D)</f>
        <v>51</v>
      </c>
      <c r="C9" s="150" t="s">
        <v>13</v>
      </c>
      <c r="D9" s="151">
        <f>SUM('OmniConnect RMI'!V:V)</f>
        <v>810</v>
      </c>
      <c r="E9" s="152">
        <f>SUM('OmniConnect RMI'!W:W)</f>
        <v>405</v>
      </c>
      <c r="F9" s="153">
        <f>SUM('OmniConnect RMI'!X:X)</f>
        <v>1012.5</v>
      </c>
      <c r="G9" s="154">
        <f>SUM('OmniConnect RMI'!Y:Y)</f>
        <v>776.25000000000011</v>
      </c>
      <c r="H9" s="197">
        <f>G9/2</f>
        <v>388.12500000000006</v>
      </c>
    </row>
    <row r="10" spans="2:8" ht="42.75" customHeight="1">
      <c r="B10" s="165">
        <f>COUNTA('Fintech Fuel RMI'!D:D)</f>
        <v>54</v>
      </c>
      <c r="C10" s="155" t="s">
        <v>14</v>
      </c>
      <c r="D10" s="156">
        <f>SUM('Fintech Fuel RMI'!V:V)</f>
        <v>1210</v>
      </c>
      <c r="E10" s="157">
        <f>SUM('Fintech Fuel RMI'!W:W)</f>
        <v>605</v>
      </c>
      <c r="F10" s="158">
        <f>SUM('Fintech Fuel RMI'!X:X)</f>
        <v>1330.9999999999995</v>
      </c>
      <c r="G10" s="159">
        <f>SUM('Fintech Fuel RMI'!Y:Y)</f>
        <v>1129.3333333333335</v>
      </c>
      <c r="H10" s="197">
        <f>G10/2</f>
        <v>564.66666666666674</v>
      </c>
    </row>
    <row r="11" spans="2:8" ht="42.75" customHeight="1">
      <c r="B11" s="165">
        <f>COUNTA('OmniChat RMI'!D:D)</f>
        <v>14</v>
      </c>
      <c r="C11" s="155" t="s">
        <v>15</v>
      </c>
      <c r="D11" s="156">
        <f>SUM('OmniChat RMI'!V:V)</f>
        <v>413</v>
      </c>
      <c r="E11" s="157">
        <f>SUM('OmniChat RMI'!W:W)</f>
        <v>206.5</v>
      </c>
      <c r="F11" s="158">
        <f>SUM('OmniChat RMI'!X:X)</f>
        <v>454.30000000000007</v>
      </c>
      <c r="G11" s="159">
        <f>SUM('OmniChat RMI'!Y:Y)</f>
        <v>400.4666666666667</v>
      </c>
      <c r="H11" s="197">
        <f>G11/2</f>
        <v>200.23333333333335</v>
      </c>
    </row>
    <row r="12" spans="2:8" ht="42.75" customHeight="1">
      <c r="B12" s="165">
        <f>COUNTA('Digital Log RMI'!D:D)</f>
        <v>31</v>
      </c>
      <c r="C12" s="155" t="s">
        <v>16</v>
      </c>
      <c r="D12" s="156">
        <f>SUM('Digital Log RMI'!V:V)</f>
        <v>972</v>
      </c>
      <c r="E12" s="157">
        <f>SUM('Digital Log RMI'!W:W)</f>
        <v>486</v>
      </c>
      <c r="F12" s="158">
        <f>SUM('Digital Log RMI'!X:X)</f>
        <v>1215</v>
      </c>
      <c r="G12" s="159">
        <f>SUM('Digital Log RMI'!Y:Y)</f>
        <v>931.5</v>
      </c>
      <c r="H12" s="197">
        <f>G12/2</f>
        <v>465.75</v>
      </c>
    </row>
    <row r="13" spans="2:8" ht="42.75" customHeight="1">
      <c r="B13" s="221"/>
      <c r="C13" s="145" t="s">
        <v>17</v>
      </c>
      <c r="D13" s="226">
        <v>176</v>
      </c>
      <c r="E13" s="222">
        <v>88</v>
      </c>
      <c r="F13" s="223">
        <v>193.6</v>
      </c>
      <c r="G13" s="224">
        <v>164.26666666666668</v>
      </c>
      <c r="H13" s="225">
        <f>G13</f>
        <v>164.26666666666668</v>
      </c>
    </row>
    <row r="14" spans="2:8" ht="24.75" customHeight="1">
      <c r="C14" s="160" t="s">
        <v>18</v>
      </c>
      <c r="D14" s="227">
        <f>SUM(D9:D12,D13)</f>
        <v>3581</v>
      </c>
      <c r="E14" s="161">
        <f>SUM(E9:E12,E13)</f>
        <v>1790.5</v>
      </c>
      <c r="F14" s="162">
        <f>SUM(F9:F12,F13)</f>
        <v>4206.3999999999996</v>
      </c>
      <c r="G14" s="163">
        <f>SUM(G9:G12,G13)</f>
        <v>3401.8166666666671</v>
      </c>
      <c r="H14" s="198">
        <f>SUM(H9:H12,H13)</f>
        <v>1783.0416666666667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DD726-2DE6-4A76-ABD2-E8C75999CB74}">
  <dimension ref="A1:AO53"/>
  <sheetViews>
    <sheetView zoomScaleNormal="100" workbookViewId="0">
      <pane xSplit="6" ySplit="2" topLeftCell="Z25" activePane="bottomRight" state="frozen"/>
      <selection pane="bottomRight" activeCell="D31" sqref="D31"/>
      <selection pane="bottomLeft" activeCell="A3" sqref="A3"/>
      <selection pane="topRight" activeCell="E1" sqref="E1"/>
    </sheetView>
  </sheetViews>
  <sheetFormatPr defaultRowHeight="18" customHeight="1"/>
  <cols>
    <col min="1" max="1" width="4.7109375" customWidth="1"/>
    <col min="2" max="2" width="14" bestFit="1" customWidth="1"/>
    <col min="3" max="3" width="26.140625" style="20" bestFit="1" customWidth="1"/>
    <col min="4" max="4" width="60.85546875" style="57" customWidth="1"/>
    <col min="5" max="5" width="15.5703125" style="57" customWidth="1"/>
    <col min="6" max="6" width="12.7109375" bestFit="1" customWidth="1"/>
    <col min="7" max="7" width="10.5703125" bestFit="1" customWidth="1"/>
    <col min="8" max="11" width="7.28515625" style="49" bestFit="1" customWidth="1"/>
    <col min="12" max="12" width="10.42578125" style="49" bestFit="1" customWidth="1"/>
    <col min="13" max="13" width="9.85546875" style="49" bestFit="1" customWidth="1"/>
    <col min="14" max="15" width="6.42578125" style="49" bestFit="1" customWidth="1"/>
    <col min="16" max="16" width="4.28515625" style="49" bestFit="1" customWidth="1"/>
    <col min="17" max="17" width="4.5703125" style="49" bestFit="1" customWidth="1"/>
    <col min="18" max="18" width="7.7109375" style="49" bestFit="1" customWidth="1"/>
    <col min="19" max="19" width="4.28515625" style="49" bestFit="1" customWidth="1"/>
    <col min="20" max="20" width="8.28515625" style="49" bestFit="1" customWidth="1"/>
    <col min="21" max="21" width="7.7109375" style="49" bestFit="1" customWidth="1"/>
    <col min="22" max="22" width="9.28515625" style="49" bestFit="1" customWidth="1"/>
    <col min="23" max="23" width="15.28515625" style="40" bestFit="1" customWidth="1"/>
    <col min="24" max="24" width="16" style="40" bestFit="1" customWidth="1"/>
    <col min="25" max="25" width="11" style="58" bestFit="1" customWidth="1"/>
    <col min="26" max="26" width="11" style="177" customWidth="1"/>
    <col min="27" max="27" width="18" style="200" customWidth="1"/>
    <col min="28" max="30" width="11" style="200" customWidth="1"/>
    <col min="31" max="31" width="10.42578125" style="49" bestFit="1" customWidth="1"/>
    <col min="32" max="32" width="11.28515625" style="49" bestFit="1" customWidth="1"/>
    <col min="33" max="33" width="12.5703125" style="49" bestFit="1" customWidth="1"/>
    <col min="34" max="34" width="10.140625" style="49" bestFit="1" customWidth="1"/>
    <col min="35" max="35" width="10.42578125" style="49" bestFit="1" customWidth="1"/>
    <col min="36" max="36" width="8.140625" style="49" bestFit="1" customWidth="1"/>
    <col min="37" max="37" width="10.140625" style="49" bestFit="1" customWidth="1"/>
    <col min="38" max="38" width="14.42578125" style="49" bestFit="1" customWidth="1"/>
    <col min="39" max="39" width="8" style="49" bestFit="1" customWidth="1"/>
    <col min="41" max="41" width="84.42578125" bestFit="1" customWidth="1"/>
  </cols>
  <sheetData>
    <row r="1" spans="1:41" ht="15">
      <c r="A1" s="276" t="s">
        <v>19</v>
      </c>
      <c r="B1" s="276"/>
      <c r="C1" s="276"/>
      <c r="D1" s="276"/>
      <c r="E1" s="234"/>
      <c r="F1" s="7"/>
      <c r="G1" s="7"/>
      <c r="H1" s="43" t="s">
        <v>20</v>
      </c>
      <c r="I1" s="43" t="s">
        <v>21</v>
      </c>
      <c r="J1" s="43" t="s">
        <v>22</v>
      </c>
      <c r="K1" s="43" t="s">
        <v>23</v>
      </c>
      <c r="L1" s="44"/>
      <c r="M1" s="282" t="s">
        <v>24</v>
      </c>
      <c r="N1" s="282"/>
      <c r="O1" s="282"/>
      <c r="P1" s="282"/>
      <c r="Q1" s="282"/>
      <c r="R1" s="282"/>
      <c r="S1" s="282"/>
      <c r="T1" s="282"/>
      <c r="U1" s="282"/>
      <c r="V1" s="282"/>
      <c r="W1" s="274" t="s">
        <v>25</v>
      </c>
      <c r="X1" s="275"/>
      <c r="Y1" s="275"/>
      <c r="Z1" s="275"/>
      <c r="AA1" s="275"/>
      <c r="AB1" s="275"/>
      <c r="AC1" s="275"/>
      <c r="AD1" s="275"/>
      <c r="AE1" s="275"/>
      <c r="AF1" s="275"/>
      <c r="AG1" s="275"/>
      <c r="AH1" s="275"/>
      <c r="AI1" s="275"/>
      <c r="AJ1" s="275"/>
      <c r="AK1" s="275"/>
      <c r="AL1" s="275"/>
      <c r="AM1" s="275"/>
      <c r="AO1" t="s">
        <v>26</v>
      </c>
    </row>
    <row r="2" spans="1:41" ht="15">
      <c r="A2" s="3" t="s">
        <v>27</v>
      </c>
      <c r="B2" s="3" t="s">
        <v>28</v>
      </c>
      <c r="C2" s="33" t="s">
        <v>29</v>
      </c>
      <c r="D2" s="54" t="s">
        <v>30</v>
      </c>
      <c r="E2" s="54" t="s">
        <v>31</v>
      </c>
      <c r="F2" s="3" t="s">
        <v>32</v>
      </c>
      <c r="G2" s="3" t="s">
        <v>33</v>
      </c>
      <c r="H2" s="45" t="s">
        <v>34</v>
      </c>
      <c r="I2" s="45" t="s">
        <v>34</v>
      </c>
      <c r="J2" s="45" t="s">
        <v>34</v>
      </c>
      <c r="K2" s="45" t="s">
        <v>34</v>
      </c>
      <c r="L2" s="43" t="s">
        <v>35</v>
      </c>
      <c r="M2" s="46" t="s">
        <v>36</v>
      </c>
      <c r="N2" s="46" t="s">
        <v>37</v>
      </c>
      <c r="O2" s="46" t="s">
        <v>38</v>
      </c>
      <c r="P2" s="46" t="s">
        <v>39</v>
      </c>
      <c r="Q2" s="46" t="s">
        <v>40</v>
      </c>
      <c r="R2" s="46" t="s">
        <v>41</v>
      </c>
      <c r="S2" s="46" t="s">
        <v>42</v>
      </c>
      <c r="T2" s="46" t="s">
        <v>43</v>
      </c>
      <c r="U2" s="46" t="s">
        <v>44</v>
      </c>
      <c r="V2" s="47" t="s">
        <v>45</v>
      </c>
      <c r="W2" s="179" t="str">
        <f>"Optimistic ("&amp;Summary!E7&amp;")"</f>
        <v>Optimistic (50%)</v>
      </c>
      <c r="X2" s="179" t="s">
        <v>46</v>
      </c>
      <c r="Y2" s="180" t="s">
        <v>47</v>
      </c>
      <c r="Z2" s="207" t="s">
        <v>48</v>
      </c>
      <c r="AA2" s="171" t="s">
        <v>49</v>
      </c>
      <c r="AB2" s="171" t="s">
        <v>50</v>
      </c>
      <c r="AC2" s="171" t="s">
        <v>51</v>
      </c>
      <c r="AD2" s="171" t="s">
        <v>52</v>
      </c>
      <c r="AE2" s="209" t="s">
        <v>36</v>
      </c>
      <c r="AF2" s="81" t="s">
        <v>53</v>
      </c>
      <c r="AG2" s="81" t="s">
        <v>54</v>
      </c>
      <c r="AH2" s="81" t="s">
        <v>55</v>
      </c>
      <c r="AI2" s="81" t="s">
        <v>56</v>
      </c>
      <c r="AJ2" s="209" t="s">
        <v>41</v>
      </c>
      <c r="AK2" s="81" t="s">
        <v>57</v>
      </c>
      <c r="AL2" s="81" t="s">
        <v>58</v>
      </c>
      <c r="AM2" s="209" t="s">
        <v>44</v>
      </c>
    </row>
    <row r="3" spans="1:41" ht="15">
      <c r="A3" s="1">
        <v>1</v>
      </c>
      <c r="B3" s="266" t="s">
        <v>59</v>
      </c>
      <c r="C3" s="267" t="s">
        <v>60</v>
      </c>
      <c r="D3" s="203" t="s">
        <v>61</v>
      </c>
      <c r="E3" s="235" t="s">
        <v>62</v>
      </c>
      <c r="F3" s="1" t="s">
        <v>63</v>
      </c>
      <c r="G3" s="1"/>
      <c r="H3" s="25">
        <v>1</v>
      </c>
      <c r="I3" s="25"/>
      <c r="J3" s="25"/>
      <c r="K3" s="25">
        <v>1</v>
      </c>
      <c r="L3" s="25" t="s">
        <v>64</v>
      </c>
      <c r="M3" s="25"/>
      <c r="N3" s="25">
        <v>2</v>
      </c>
      <c r="O3" s="25">
        <v>20</v>
      </c>
      <c r="P3" s="25">
        <v>40</v>
      </c>
      <c r="Q3" s="25">
        <v>20</v>
      </c>
      <c r="R3" s="25"/>
      <c r="S3" s="25">
        <v>0</v>
      </c>
      <c r="T3" s="25">
        <v>2</v>
      </c>
      <c r="U3" s="25"/>
      <c r="V3" s="48">
        <f>SUM(M3:U3)</f>
        <v>84</v>
      </c>
      <c r="W3" s="175">
        <f>V3 - (V3 * (SUBSTITUTE(SUBSTITUTE($W$2, "Optimistic (", ""), "%)", "") / 100))</f>
        <v>42</v>
      </c>
      <c r="X3" s="175">
        <f>V3 + (W3 * (SUBSTITUTE(SUBSTITUTE($W$2, "Optimistic (", ""), "%)", "") / 100))</f>
        <v>105</v>
      </c>
      <c r="Y3" s="181">
        <f>(W3+(4*V3)+X3)/6</f>
        <v>80.5</v>
      </c>
      <c r="Z3" s="207">
        <f>Y3/2</f>
        <v>40.25</v>
      </c>
      <c r="AA3" s="185"/>
      <c r="AB3" s="185"/>
      <c r="AC3" s="185"/>
      <c r="AD3" s="185">
        <f>AC3+5</f>
        <v>5</v>
      </c>
      <c r="AE3" s="206">
        <f>IF($Z3="",0,IF($M3="",0,$M3))</f>
        <v>0</v>
      </c>
      <c r="AF3" s="206">
        <f>IF(OR($Z3="",$N3=""),0,$Z3*5%)</f>
        <v>2.0125000000000002</v>
      </c>
      <c r="AG3" s="206">
        <f>IF(OR($Z3="",$O3=""),0,$Z3*10%)</f>
        <v>4.0250000000000004</v>
      </c>
      <c r="AH3" s="206">
        <f>IF($Z3="",0,IF(AND($P3="",$Q3=""),($Z3-$AE3-$AF3-$AG3-$AJ3-$AK3-$AL3-$AM3),IF($P3="",0,IF($Q3="",($Z3-$AE3-$AF3-$AG3-$AJ3-$AK3-$AL3-$AM3),($Z3-$AE3-$AF3-$AG3-$AJ3-$AK3-$AL3-$AM3)-$AI3))))</f>
        <v>20.125</v>
      </c>
      <c r="AI3" s="206">
        <f>IF($Z3="",0,IF(AND($P3="",$Q3=""),0,IF($Q3="",0,IF($P3="",($Z3-$AE3-$AF3-$AG3-$AJ3-$AK3-$AL3-$AM3),($Z3-$AE3-$AF3-$AG3-$AJ3-$AK3-$AL3-$AM3)*15%/(50%+15%)))))</f>
        <v>6.0374999999999996</v>
      </c>
      <c r="AJ3" s="206">
        <f>IF($Z3="",0,IF($R3="",0,$R3))</f>
        <v>0</v>
      </c>
      <c r="AK3" s="206">
        <f>IF(OR($Z3="",$S3=""),0,$Z3*10%)</f>
        <v>4.0250000000000004</v>
      </c>
      <c r="AL3" s="206">
        <f>IF(OR($Z3="",$T3=""),0,$Z3*10%)</f>
        <v>4.0250000000000004</v>
      </c>
      <c r="AM3" s="206">
        <f>IF($Z3="",0,IF($U3="",0,$U3))</f>
        <v>0</v>
      </c>
      <c r="AN3" s="59">
        <f>SUM(AE3:AM3)</f>
        <v>40.25</v>
      </c>
    </row>
    <row r="4" spans="1:41" ht="15">
      <c r="A4" s="1">
        <v>2</v>
      </c>
      <c r="B4" s="266"/>
      <c r="C4" s="267"/>
      <c r="D4" s="55" t="s">
        <v>65</v>
      </c>
      <c r="E4" s="55"/>
      <c r="F4" s="1" t="s">
        <v>66</v>
      </c>
      <c r="G4" s="1"/>
      <c r="H4" s="25">
        <v>1</v>
      </c>
      <c r="I4" s="25"/>
      <c r="J4" s="25"/>
      <c r="K4" s="25">
        <v>1</v>
      </c>
      <c r="L4" s="25" t="s">
        <v>67</v>
      </c>
      <c r="M4" s="25"/>
      <c r="N4" s="25"/>
      <c r="O4" s="25"/>
      <c r="P4" s="25"/>
      <c r="Q4" s="25"/>
      <c r="R4" s="25"/>
      <c r="S4" s="25"/>
      <c r="T4" s="25"/>
      <c r="U4" s="25"/>
      <c r="V4" s="48">
        <f t="shared" ref="V4:V52" si="0">SUM(M4:U4)</f>
        <v>0</v>
      </c>
      <c r="W4" s="175">
        <f t="shared" ref="W4:W52" si="1">V4 - (V4 * (SUBSTITUTE(SUBSTITUTE($W$2, "Optimistic (", ""), "%)", "") / 100))</f>
        <v>0</v>
      </c>
      <c r="X4" s="175">
        <f t="shared" ref="X4:X52" si="2">V4 + (W4 * (SUBSTITUTE(SUBSTITUTE($W$2, "Optimistic (", ""), "%)", "") / 100))</f>
        <v>0</v>
      </c>
      <c r="Y4" s="181">
        <f t="shared" ref="Y4:Y52" si="3">(W4+(4*V4)+X4)/6</f>
        <v>0</v>
      </c>
      <c r="Z4" s="207">
        <f t="shared" ref="Z4:Z53" si="4">Y4/2</f>
        <v>0</v>
      </c>
      <c r="AA4" s="185"/>
      <c r="AB4" s="185"/>
      <c r="AC4" s="185"/>
      <c r="AD4" s="185"/>
      <c r="AE4" s="206">
        <f>IF($Z4="",0,IF($M4="",0,$M4))</f>
        <v>0</v>
      </c>
      <c r="AF4" s="206">
        <f>IF(OR($Z4="",$N4=""),0,$Z4*5%)</f>
        <v>0</v>
      </c>
      <c r="AG4" s="206">
        <f>IF(OR($Z4="",$O4=""),0,$Z4*10%)</f>
        <v>0</v>
      </c>
      <c r="AH4" s="206">
        <f>IF($Z4="",0,IF(AND($P4="",$Q4=""),($Z4-$AE4-$AF4-$AG4-$AJ4-$AK4-$AL4-$AM4),IF($P4="",0,IF($Q4="",($Z4-$AE4-$AF4-$AG4-$AJ4-$AK4-$AL4-$AM4),($Z4-$AE4-$AF4-$AG4-$AJ4-$AK4-$AL4-$AM4)-$AI4))))</f>
        <v>0</v>
      </c>
      <c r="AI4" s="206">
        <f>IF($Z4="",0,IF(AND($P4="",$Q4=""),0,IF($Q4="",0,IF($P4="",($Z4-$AE4-$AF4-$AG4-$AJ4-$AK4-$AL4-$AM4),($Z4-$AE4-$AF4-$AG4-$AJ4-$AK4-$AL4-$AM4)*15%/(50%+15%)))))</f>
        <v>0</v>
      </c>
      <c r="AJ4" s="206">
        <f>IF($Z4="",0,IF($R4="",0,$R4))</f>
        <v>0</v>
      </c>
      <c r="AK4" s="206">
        <f>IF(OR($Z4="",$S4=""),0,$Z4*10%)</f>
        <v>0</v>
      </c>
      <c r="AL4" s="206">
        <f>IF(OR($Z4="",$T4=""),0,$Z4*10%)</f>
        <v>0</v>
      </c>
      <c r="AM4" s="206">
        <f>IF($Z4="",0,IF($U4="",0,$U4))</f>
        <v>0</v>
      </c>
      <c r="AN4" s="59">
        <f>SUM(AE4:AM4)</f>
        <v>0</v>
      </c>
    </row>
    <row r="5" spans="1:41" ht="15">
      <c r="A5" s="1">
        <v>3</v>
      </c>
      <c r="B5" s="266"/>
      <c r="C5" s="36" t="s">
        <v>68</v>
      </c>
      <c r="D5" s="66" t="s">
        <v>69</v>
      </c>
      <c r="E5" s="56"/>
      <c r="F5" s="8" t="s">
        <v>70</v>
      </c>
      <c r="G5" s="1"/>
      <c r="H5" s="25">
        <v>2</v>
      </c>
      <c r="I5" s="25"/>
      <c r="J5" s="25"/>
      <c r="K5" s="25">
        <v>2</v>
      </c>
      <c r="L5" s="25"/>
      <c r="M5" s="25"/>
      <c r="N5" s="25"/>
      <c r="O5" s="25"/>
      <c r="P5" s="25"/>
      <c r="Q5" s="25">
        <v>5</v>
      </c>
      <c r="R5" s="25"/>
      <c r="S5" s="25"/>
      <c r="T5" s="25"/>
      <c r="U5" s="25">
        <v>1</v>
      </c>
      <c r="V5" s="48">
        <f t="shared" si="0"/>
        <v>6</v>
      </c>
      <c r="W5" s="175">
        <f t="shared" si="1"/>
        <v>3</v>
      </c>
      <c r="X5" s="175">
        <f t="shared" si="2"/>
        <v>7.5</v>
      </c>
      <c r="Y5" s="181">
        <f t="shared" si="3"/>
        <v>5.75</v>
      </c>
      <c r="Z5" s="207">
        <f t="shared" si="4"/>
        <v>2.875</v>
      </c>
      <c r="AA5" s="185"/>
      <c r="AB5" s="185"/>
      <c r="AC5" s="185"/>
      <c r="AD5" s="185"/>
      <c r="AE5" s="206">
        <f>IF($Z5="",0,IF($M5="",0,$M5))</f>
        <v>0</v>
      </c>
      <c r="AF5" s="206">
        <f>IF(OR($Z5="",$N5=""),0,$Z5*5%)</f>
        <v>0</v>
      </c>
      <c r="AG5" s="206">
        <f>IF(OR($Z5="",$O5=""),0,$Z5*10%)</f>
        <v>0</v>
      </c>
      <c r="AH5" s="206">
        <f>IF($Z5="",0,IF(AND($P5="",$Q5=""),($Z5-$AE5-$AF5-$AG5-$AJ5-$AK5-$AL5-$AM5),IF($P5="",0,IF($Q5="",($Z5-$AE5-$AF5-$AG5-$AJ5-$AK5-$AL5-$AM5),($Z5-$AE5-$AF5-$AG5-$AJ5-$AK5-$AL5-$AM5)-$AI5))))</f>
        <v>0</v>
      </c>
      <c r="AI5" s="206">
        <f>IF($Z5="",0,IF(AND($P5="",$Q5=""),0,IF($Q5="",0,IF($P5="",($Z5-$AE5-$AF5-$AG5-$AJ5-$AK5-$AL5-$AM5),($Z5-$AE5-$AF5-$AG5-$AJ5-$AK5-$AL5-$AM5)*15%/(50%+15%)))))</f>
        <v>1.875</v>
      </c>
      <c r="AJ5" s="206">
        <f>IF($Z5="",0,IF($R5="",0,$R5))</f>
        <v>0</v>
      </c>
      <c r="AK5" s="206">
        <f>IF(OR($Z5="",$S5=""),0,$Z5*10%)</f>
        <v>0</v>
      </c>
      <c r="AL5" s="206">
        <f>IF(OR($Z5="",$T5=""),0,$Z5*10%)</f>
        <v>0</v>
      </c>
      <c r="AM5" s="206">
        <f>IF($Z5="",0,IF($U5="",0,$U5))</f>
        <v>1</v>
      </c>
      <c r="AN5" s="59">
        <f>SUM(AE5:AM5)</f>
        <v>2.875</v>
      </c>
    </row>
    <row r="6" spans="1:41" ht="15">
      <c r="A6" s="1">
        <v>4</v>
      </c>
      <c r="B6" s="266"/>
      <c r="C6" s="65" t="s">
        <v>71</v>
      </c>
      <c r="D6" s="66" t="s">
        <v>72</v>
      </c>
      <c r="E6" s="66"/>
      <c r="F6" s="64" t="s">
        <v>63</v>
      </c>
      <c r="G6" s="64"/>
      <c r="H6" s="63">
        <v>2</v>
      </c>
      <c r="I6" s="63"/>
      <c r="J6" s="63"/>
      <c r="K6" s="63">
        <v>3</v>
      </c>
      <c r="L6" s="63" t="s">
        <v>67</v>
      </c>
      <c r="M6" s="63"/>
      <c r="N6" s="63"/>
      <c r="O6" s="63"/>
      <c r="P6" s="63"/>
      <c r="Q6" s="63"/>
      <c r="R6" s="63"/>
      <c r="S6" s="63"/>
      <c r="T6" s="63"/>
      <c r="U6" s="63"/>
      <c r="V6" s="48">
        <f t="shared" si="0"/>
        <v>0</v>
      </c>
      <c r="W6" s="175">
        <f t="shared" si="1"/>
        <v>0</v>
      </c>
      <c r="X6" s="175">
        <f t="shared" si="2"/>
        <v>0</v>
      </c>
      <c r="Y6" s="181">
        <f t="shared" si="3"/>
        <v>0</v>
      </c>
      <c r="Z6" s="207">
        <f t="shared" si="4"/>
        <v>0</v>
      </c>
      <c r="AA6" s="185"/>
      <c r="AB6" s="185"/>
      <c r="AC6" s="185"/>
      <c r="AD6" s="185"/>
      <c r="AE6" s="206">
        <f>IF($Z6="",0,IF($M6="",0,$M6))</f>
        <v>0</v>
      </c>
      <c r="AF6" s="206">
        <f>IF(OR($Z6="",$N6=""),0,$Z6*5%)</f>
        <v>0</v>
      </c>
      <c r="AG6" s="206">
        <f>IF(OR($Z6="",$O6=""),0,$Z6*10%)</f>
        <v>0</v>
      </c>
      <c r="AH6" s="206">
        <f>IF($Z6="",0,IF(AND($P6="",$Q6=""),($Z6-$AE6-$AF6-$AG6-$AJ6-$AK6-$AL6-$AM6),IF($P6="",0,IF($Q6="",($Z6-$AE6-$AF6-$AG6-$AJ6-$AK6-$AL6-$AM6),($Z6-$AE6-$AF6-$AG6-$AJ6-$AK6-$AL6-$AM6)-$AI6))))</f>
        <v>0</v>
      </c>
      <c r="AI6" s="206">
        <f>IF($Z6="",0,IF(AND($P6="",$Q6=""),0,IF($Q6="",0,IF($P6="",($Z6-$AE6-$AF6-$AG6-$AJ6-$AK6-$AL6-$AM6),($Z6-$AE6-$AF6-$AG6-$AJ6-$AK6-$AL6-$AM6)*15%/(50%+15%)))))</f>
        <v>0</v>
      </c>
      <c r="AJ6" s="206">
        <f>IF($Z6="",0,IF($R6="",0,$R6))</f>
        <v>0</v>
      </c>
      <c r="AK6" s="206">
        <f>IF(OR($Z6="",$S6=""),0,$Z6*10%)</f>
        <v>0</v>
      </c>
      <c r="AL6" s="206">
        <f>IF(OR($Z6="",$T6=""),0,$Z6*10%)</f>
        <v>0</v>
      </c>
      <c r="AM6" s="206">
        <f>IF($Z6="",0,IF($U6="",0,$U6))</f>
        <v>0</v>
      </c>
      <c r="AN6" s="59">
        <f>SUM(AE6:AM6)</f>
        <v>0</v>
      </c>
    </row>
    <row r="7" spans="1:41" ht="15">
      <c r="A7" s="1">
        <v>5</v>
      </c>
      <c r="B7" s="266"/>
      <c r="C7" s="267" t="s">
        <v>73</v>
      </c>
      <c r="D7" s="55" t="s">
        <v>74</v>
      </c>
      <c r="E7" s="236" t="s">
        <v>75</v>
      </c>
      <c r="F7" s="1" t="s">
        <v>63</v>
      </c>
      <c r="G7" s="1"/>
      <c r="H7" s="25"/>
      <c r="I7" s="25"/>
      <c r="J7" s="25"/>
      <c r="K7" s="25">
        <v>2</v>
      </c>
      <c r="L7" s="25"/>
      <c r="M7" s="25"/>
      <c r="N7" s="25"/>
      <c r="O7" s="25"/>
      <c r="P7" s="63">
        <f>10+2</f>
        <v>12</v>
      </c>
      <c r="Q7" s="25">
        <v>2</v>
      </c>
      <c r="R7" s="25"/>
      <c r="S7" s="63">
        <v>2</v>
      </c>
      <c r="T7" s="25">
        <v>5</v>
      </c>
      <c r="U7" s="25">
        <f>(10+2)/3</f>
        <v>4</v>
      </c>
      <c r="V7" s="48">
        <f t="shared" si="0"/>
        <v>25</v>
      </c>
      <c r="W7" s="175">
        <f t="shared" si="1"/>
        <v>12.5</v>
      </c>
      <c r="X7" s="175">
        <f t="shared" si="2"/>
        <v>31.25</v>
      </c>
      <c r="Y7" s="181">
        <f t="shared" si="3"/>
        <v>23.958333333333332</v>
      </c>
      <c r="Z7" s="207">
        <f t="shared" si="4"/>
        <v>11.979166666666666</v>
      </c>
      <c r="AA7" s="185">
        <v>46150</v>
      </c>
      <c r="AB7" s="185">
        <v>46156</v>
      </c>
      <c r="AC7" s="185">
        <v>46157</v>
      </c>
      <c r="AD7" s="185">
        <v>46161</v>
      </c>
      <c r="AE7" s="206">
        <f>IF($Z7="",0,IF($M7="",0,$M7))</f>
        <v>0</v>
      </c>
      <c r="AF7" s="206">
        <f>IF(OR($Z7="",$N7=""),0,$Z7*5%)</f>
        <v>0</v>
      </c>
      <c r="AG7" s="206">
        <f>IF(OR($Z7="",$O7=""),0,$Z7*10%)</f>
        <v>0</v>
      </c>
      <c r="AH7" s="206">
        <f>IF($Z7="",0,IF(AND($P7="",$Q7=""),($Z7-$AE7-$AF7-$AG7-$AJ7-$AK7-$AL7-$AM7),IF($P7="",0,IF($Q7="",($Z7-$AE7-$AF7-$AG7-$AJ7-$AK7-$AL7-$AM7),($Z7-$AE7-$AF7-$AG7-$AJ7-$AK7-$AL7-$AM7)-$AI7))))</f>
        <v>4.2948717948717956</v>
      </c>
      <c r="AI7" s="206">
        <f>IF($Z7="",0,IF(AND($P7="",$Q7=""),0,IF($Q7="",0,IF($P7="",($Z7-$AE7-$AF7-$AG7-$AJ7-$AK7-$AL7-$AM7),($Z7-$AE7-$AF7-$AG7-$AJ7-$AK7-$AL7-$AM7)*15%/(50%+15%)))))</f>
        <v>1.2884615384615385</v>
      </c>
      <c r="AJ7" s="206">
        <f>IF($Z7="",0,IF($R7="",0,$R7))</f>
        <v>0</v>
      </c>
      <c r="AK7" s="206">
        <f>IF(OR($Z7="",$S7=""),0,$Z7*10%)</f>
        <v>1.1979166666666667</v>
      </c>
      <c r="AL7" s="206">
        <f>IF(OR($Z7="",$T7=""),0,$Z7*10%)</f>
        <v>1.1979166666666667</v>
      </c>
      <c r="AM7" s="206">
        <f>IF($Z7="",0,IF($U7="",0,$U7))</f>
        <v>4</v>
      </c>
      <c r="AN7" s="59">
        <f>SUM(AE7:AM7)</f>
        <v>11.979166666666668</v>
      </c>
      <c r="AO7" t="s">
        <v>76</v>
      </c>
    </row>
    <row r="8" spans="1:41" ht="15">
      <c r="A8" s="1">
        <v>6</v>
      </c>
      <c r="B8" s="266"/>
      <c r="C8" s="267"/>
      <c r="D8" s="55" t="s">
        <v>77</v>
      </c>
      <c r="E8" s="236" t="s">
        <v>78</v>
      </c>
      <c r="F8" s="1" t="s">
        <v>63</v>
      </c>
      <c r="G8" s="1"/>
      <c r="H8" s="25"/>
      <c r="I8" s="25"/>
      <c r="J8" s="25"/>
      <c r="K8" s="25">
        <v>2</v>
      </c>
      <c r="L8" s="25"/>
      <c r="M8" s="25"/>
      <c r="N8" s="25"/>
      <c r="O8" s="25"/>
      <c r="P8" s="63">
        <f>10+2</f>
        <v>12</v>
      </c>
      <c r="Q8" s="25">
        <v>2</v>
      </c>
      <c r="R8" s="25"/>
      <c r="S8" s="63">
        <v>2</v>
      </c>
      <c r="T8" s="25">
        <v>5</v>
      </c>
      <c r="U8" s="25">
        <f>(10+2)/3</f>
        <v>4</v>
      </c>
      <c r="V8" s="48">
        <f t="shared" si="0"/>
        <v>25</v>
      </c>
      <c r="W8" s="175">
        <f t="shared" si="1"/>
        <v>12.5</v>
      </c>
      <c r="X8" s="175">
        <f t="shared" si="2"/>
        <v>31.25</v>
      </c>
      <c r="Y8" s="181">
        <f t="shared" si="3"/>
        <v>23.958333333333332</v>
      </c>
      <c r="Z8" s="207">
        <f t="shared" si="4"/>
        <v>11.979166666666666</v>
      </c>
      <c r="AA8" s="185">
        <v>46164</v>
      </c>
      <c r="AB8" s="185">
        <v>46170</v>
      </c>
      <c r="AC8" s="185">
        <v>46171</v>
      </c>
      <c r="AD8" s="185">
        <v>46175</v>
      </c>
      <c r="AE8" s="206">
        <f>IF($Z8="",0,IF($M8="",0,$M8))</f>
        <v>0</v>
      </c>
      <c r="AF8" s="206">
        <f>IF(OR($Z8="",$N8=""),0,$Z8*5%)</f>
        <v>0</v>
      </c>
      <c r="AG8" s="206">
        <f>IF(OR($Z8="",$O8=""),0,$Z8*10%)</f>
        <v>0</v>
      </c>
      <c r="AH8" s="206">
        <f>IF($Z8="",0,IF(AND($P8="",$Q8=""),($Z8-$AE8-$AF8-$AG8-$AJ8-$AK8-$AL8-$AM8),IF($P8="",0,IF($Q8="",($Z8-$AE8-$AF8-$AG8-$AJ8-$AK8-$AL8-$AM8),($Z8-$AE8-$AF8-$AG8-$AJ8-$AK8-$AL8-$AM8)-$AI8))))</f>
        <v>4.2948717948717956</v>
      </c>
      <c r="AI8" s="206">
        <f>IF($Z8="",0,IF(AND($P8="",$Q8=""),0,IF($Q8="",0,IF($P8="",($Z8-$AE8-$AF8-$AG8-$AJ8-$AK8-$AL8-$AM8),($Z8-$AE8-$AF8-$AG8-$AJ8-$AK8-$AL8-$AM8)*15%/(50%+15%)))))</f>
        <v>1.2884615384615385</v>
      </c>
      <c r="AJ8" s="206">
        <f>IF($Z8="",0,IF($R8="",0,$R8))</f>
        <v>0</v>
      </c>
      <c r="AK8" s="206">
        <f>IF(OR($Z8="",$S8=""),0,$Z8*10%)</f>
        <v>1.1979166666666667</v>
      </c>
      <c r="AL8" s="206">
        <f>IF(OR($Z8="",$T8=""),0,$Z8*10%)</f>
        <v>1.1979166666666667</v>
      </c>
      <c r="AM8" s="206">
        <f>IF($Z8="",0,IF($U8="",0,$U8))</f>
        <v>4</v>
      </c>
      <c r="AN8" s="59">
        <f>SUM(AE8:AM8)</f>
        <v>11.979166666666668</v>
      </c>
      <c r="AO8" t="s">
        <v>76</v>
      </c>
    </row>
    <row r="9" spans="1:41" ht="15">
      <c r="A9" s="1">
        <v>7</v>
      </c>
      <c r="B9" s="266"/>
      <c r="C9" s="267"/>
      <c r="D9" s="55" t="s">
        <v>79</v>
      </c>
      <c r="E9" s="236" t="s">
        <v>80</v>
      </c>
      <c r="F9" s="1" t="s">
        <v>63</v>
      </c>
      <c r="G9" s="1"/>
      <c r="H9" s="25"/>
      <c r="I9" s="25"/>
      <c r="J9" s="25"/>
      <c r="K9" s="25">
        <v>2</v>
      </c>
      <c r="L9" s="25"/>
      <c r="M9" s="25">
        <v>0</v>
      </c>
      <c r="N9" s="25"/>
      <c r="O9" s="25"/>
      <c r="P9" s="63">
        <f>10+2</f>
        <v>12</v>
      </c>
      <c r="Q9" s="25">
        <v>2</v>
      </c>
      <c r="R9" s="25">
        <v>0</v>
      </c>
      <c r="S9" s="63">
        <v>2</v>
      </c>
      <c r="T9" s="25">
        <v>5</v>
      </c>
      <c r="U9" s="25">
        <f>(10+2)/3</f>
        <v>4</v>
      </c>
      <c r="V9" s="48">
        <f t="shared" si="0"/>
        <v>25</v>
      </c>
      <c r="W9" s="175">
        <f t="shared" si="1"/>
        <v>12.5</v>
      </c>
      <c r="X9" s="175">
        <f t="shared" si="2"/>
        <v>31.25</v>
      </c>
      <c r="Y9" s="181">
        <f t="shared" si="3"/>
        <v>23.958333333333332</v>
      </c>
      <c r="Z9" s="207">
        <f t="shared" si="4"/>
        <v>11.979166666666666</v>
      </c>
      <c r="AA9" s="185">
        <v>46176</v>
      </c>
      <c r="AB9" s="185">
        <v>46182</v>
      </c>
      <c r="AC9" s="185">
        <v>46183</v>
      </c>
      <c r="AD9" s="185">
        <v>46185</v>
      </c>
      <c r="AE9" s="206">
        <f>IF($Z9="",0,IF($M9="",0,$M9))</f>
        <v>0</v>
      </c>
      <c r="AF9" s="206">
        <f>IF(OR($Z9="",$N9=""),0,$Z9*5%)</f>
        <v>0</v>
      </c>
      <c r="AG9" s="206">
        <f>IF(OR($Z9="",$O9=""),0,$Z9*10%)</f>
        <v>0</v>
      </c>
      <c r="AH9" s="206">
        <f>IF($Z9="",0,IF(AND($P9="",$Q9=""),($Z9-$AE9-$AF9-$AG9-$AJ9-$AK9-$AL9-$AM9),IF($P9="",0,IF($Q9="",($Z9-$AE9-$AF9-$AG9-$AJ9-$AK9-$AL9-$AM9),($Z9-$AE9-$AF9-$AG9-$AJ9-$AK9-$AL9-$AM9)-$AI9))))</f>
        <v>4.2948717948717956</v>
      </c>
      <c r="AI9" s="206">
        <f>IF($Z9="",0,IF(AND($P9="",$Q9=""),0,IF($Q9="",0,IF($P9="",($Z9-$AE9-$AF9-$AG9-$AJ9-$AK9-$AL9-$AM9),($Z9-$AE9-$AF9-$AG9-$AJ9-$AK9-$AL9-$AM9)*15%/(50%+15%)))))</f>
        <v>1.2884615384615385</v>
      </c>
      <c r="AJ9" s="206">
        <f>IF($Z9="",0,IF($R9="",0,$R9))</f>
        <v>0</v>
      </c>
      <c r="AK9" s="206">
        <f>IF(OR($Z9="",$S9=""),0,$Z9*10%)</f>
        <v>1.1979166666666667</v>
      </c>
      <c r="AL9" s="206">
        <f>IF(OR($Z9="",$T9=""),0,$Z9*10%)</f>
        <v>1.1979166666666667</v>
      </c>
      <c r="AM9" s="206">
        <f>IF($Z9="",0,IF($U9="",0,$U9))</f>
        <v>4</v>
      </c>
      <c r="AN9" s="59">
        <f>SUM(AE9:AM9)</f>
        <v>11.979166666666668</v>
      </c>
      <c r="AO9" t="s">
        <v>76</v>
      </c>
    </row>
    <row r="10" spans="1:41" ht="15">
      <c r="A10" s="1"/>
      <c r="B10" s="8"/>
      <c r="C10" s="36"/>
      <c r="D10" s="55" t="s">
        <v>81</v>
      </c>
      <c r="E10" s="265" t="s">
        <v>82</v>
      </c>
      <c r="F10" s="1" t="s">
        <v>63</v>
      </c>
      <c r="G10" s="1"/>
      <c r="H10" s="25"/>
      <c r="I10" s="25"/>
      <c r="J10" s="25"/>
      <c r="K10" s="25"/>
      <c r="L10" s="25"/>
      <c r="M10" s="25">
        <v>2</v>
      </c>
      <c r="N10" s="25">
        <v>2</v>
      </c>
      <c r="O10" s="25">
        <v>3</v>
      </c>
      <c r="P10" s="63">
        <v>2</v>
      </c>
      <c r="Q10" s="25">
        <v>1</v>
      </c>
      <c r="R10" s="25">
        <v>0</v>
      </c>
      <c r="S10" s="63">
        <v>0</v>
      </c>
      <c r="T10" s="25">
        <v>0</v>
      </c>
      <c r="U10" s="25">
        <v>3</v>
      </c>
      <c r="V10" s="48">
        <v>17</v>
      </c>
      <c r="W10" s="175">
        <f t="shared" ref="W10" si="5">V10 - (V10 * (SUBSTITUTE(SUBSTITUTE($W$2, "Optimistic (", ""), "%)", "") / 100))</f>
        <v>8.5</v>
      </c>
      <c r="X10" s="175">
        <f t="shared" ref="X10" si="6">V10 + (W10 * (SUBSTITUTE(SUBSTITUTE($W$2, "Optimistic (", ""), "%)", "") / 100))</f>
        <v>21.25</v>
      </c>
      <c r="Y10" s="181">
        <f t="shared" ref="Y10" si="7">(W10+(4*V10)+X10)/6</f>
        <v>16.291666666666668</v>
      </c>
      <c r="Z10" s="207">
        <f t="shared" si="4"/>
        <v>8.1458333333333339</v>
      </c>
      <c r="AA10" s="185">
        <f>DATEVALUE("04/08/2026")</f>
        <v>46120</v>
      </c>
      <c r="AB10" s="185">
        <f>DATEVALUE("04/17/2026")</f>
        <v>46129</v>
      </c>
      <c r="AC10" s="185">
        <v>46136</v>
      </c>
      <c r="AD10" s="229">
        <v>46142</v>
      </c>
      <c r="AE10" s="206">
        <f>IF($Z10="",0,IF($M10="",0,$M10))</f>
        <v>2</v>
      </c>
      <c r="AF10" s="206">
        <f>IF(OR($Z10="",$N10=""),0,$Z10*5%)</f>
        <v>0.40729166666666672</v>
      </c>
      <c r="AG10" s="206">
        <f>IF(OR($Z10="",$O10=""),0,$Z10*10%)</f>
        <v>0.81458333333333344</v>
      </c>
      <c r="AH10" s="206">
        <f>IF($Z10="",0,IF(AND($P10="",$Q10=""),($Z10-$AE10-$AF10-$AG10-$AJ10-$AK10-$AL10-$AM10),IF($P10="",0,IF($Q10="",($Z10-$AE10-$AF10-$AG10-$AJ10-$AK10-$AL10-$AM10),($Z10-$AE10-$AF10-$AG10-$AJ10-$AK10-$AL10-$AM10)-$AI10))))</f>
        <v>0.22676282051282129</v>
      </c>
      <c r="AI10" s="206">
        <f>IF($Z10="",0,IF(AND($P10="",$Q10=""),0,IF($Q10="",0,IF($P10="",($Z10-$AE10-$AF10-$AG10-$AJ10-$AK10-$AL10-$AM10),($Z10-$AE10-$AF10-$AG10-$AJ10-$AK10-$AL10-$AM10)*15%/(50%+15%)))))</f>
        <v>6.8028846153846384E-2</v>
      </c>
      <c r="AJ10" s="206">
        <f>IF($Z10="",0,IF($R10="",0,$R10))</f>
        <v>0</v>
      </c>
      <c r="AK10" s="206">
        <f>IF(OR($Z10="",$S10=""),0,$Z10*10%)</f>
        <v>0.81458333333333344</v>
      </c>
      <c r="AL10" s="206">
        <f>IF(OR($Z10="",$T10=""),0,$Z10*10%)</f>
        <v>0.81458333333333344</v>
      </c>
      <c r="AM10" s="206">
        <f>IF($Z10="",0,IF($U10="",0,$U10))</f>
        <v>3</v>
      </c>
      <c r="AN10" s="59">
        <f>SUM(AE10:AM10)</f>
        <v>8.1458333333333339</v>
      </c>
    </row>
    <row r="11" spans="1:41" ht="15">
      <c r="A11" s="1">
        <v>8</v>
      </c>
      <c r="B11" s="266" t="s">
        <v>83</v>
      </c>
      <c r="C11" s="267" t="s">
        <v>84</v>
      </c>
      <c r="D11" s="55" t="s">
        <v>85</v>
      </c>
      <c r="E11" s="55"/>
      <c r="F11" s="1" t="s">
        <v>86</v>
      </c>
      <c r="G11" s="1"/>
      <c r="H11" s="25">
        <v>1</v>
      </c>
      <c r="I11" s="25"/>
      <c r="J11" s="25"/>
      <c r="K11" s="25">
        <v>1</v>
      </c>
      <c r="L11" s="25" t="s">
        <v>64</v>
      </c>
      <c r="M11" s="25">
        <v>0</v>
      </c>
      <c r="N11" s="25"/>
      <c r="O11" s="25"/>
      <c r="P11" s="25"/>
      <c r="Q11" s="25">
        <v>1</v>
      </c>
      <c r="R11" s="25">
        <f>4+4</f>
        <v>8</v>
      </c>
      <c r="S11" s="25"/>
      <c r="T11" s="25">
        <v>1</v>
      </c>
      <c r="U11" s="25">
        <v>1</v>
      </c>
      <c r="V11" s="48">
        <f t="shared" si="0"/>
        <v>11</v>
      </c>
      <c r="W11" s="175">
        <f t="shared" si="1"/>
        <v>5.5</v>
      </c>
      <c r="X11" s="175">
        <f t="shared" si="2"/>
        <v>13.75</v>
      </c>
      <c r="Y11" s="181">
        <f t="shared" si="3"/>
        <v>10.541666666666666</v>
      </c>
      <c r="Z11" s="207">
        <f t="shared" si="4"/>
        <v>5.270833333333333</v>
      </c>
      <c r="AA11" s="185"/>
      <c r="AB11" s="185"/>
      <c r="AC11" s="185"/>
      <c r="AD11" s="185"/>
      <c r="AE11" s="206">
        <f>IF($Z11="",0,IF($M11="",0,$M11))</f>
        <v>0</v>
      </c>
      <c r="AF11" s="206">
        <f>IF(OR($Z11="",$N11=""),0,$Z11*5%)</f>
        <v>0</v>
      </c>
      <c r="AG11" s="206">
        <f>IF(OR($Z11="",$O11=""),0,$Z11*10%)</f>
        <v>0</v>
      </c>
      <c r="AH11" s="206">
        <f>IF($Z11="",0,IF(AND($P11="",$Q11=""),($Z11-$AE11-$AF11-$AG11-$AJ11-$AK11-$AL11-$AM11),IF($P11="",0,IF($Q11="",($Z11-$AE11-$AF11-$AG11-$AJ11-$AK11-$AL11-$AM11),($Z11-$AE11-$AF11-$AG11-$AJ11-$AK11-$AL11-$AM11)-$AI11))))</f>
        <v>0</v>
      </c>
      <c r="AI11" s="206">
        <f>IF($Z11="",0,IF(AND($P11="",$Q11=""),0,IF($Q11="",0,IF($P11="",($Z11-$AE11-$AF11-$AG11-$AJ11-$AK11-$AL11-$AM11),($Z11-$AE11-$AF11-$AG11-$AJ11-$AK11-$AL11-$AM11)*15%/(50%+15%)))))</f>
        <v>-4.2562500000000005</v>
      </c>
      <c r="AJ11" s="206">
        <f>IF($Z11="",0,IF($R11="",0,$R11))</f>
        <v>8</v>
      </c>
      <c r="AK11" s="206">
        <f>IF(OR($Z11="",$S11=""),0,$Z11*10%)</f>
        <v>0</v>
      </c>
      <c r="AL11" s="206">
        <f>IF(OR($Z11="",$T11=""),0,$Z11*10%)</f>
        <v>0.52708333333333335</v>
      </c>
      <c r="AM11" s="206">
        <f>IF($Z11="",0,IF($U11="",0,$U11))</f>
        <v>1</v>
      </c>
      <c r="AN11" s="59">
        <f>SUM(AE11:AM11)</f>
        <v>5.270833333333333</v>
      </c>
    </row>
    <row r="12" spans="1:41" ht="15">
      <c r="A12" s="1">
        <v>9</v>
      </c>
      <c r="B12" s="266"/>
      <c r="C12" s="267"/>
      <c r="D12" s="55" t="s">
        <v>87</v>
      </c>
      <c r="E12" s="55"/>
      <c r="F12" s="1" t="s">
        <v>86</v>
      </c>
      <c r="G12" s="1"/>
      <c r="H12" s="25">
        <v>1</v>
      </c>
      <c r="I12" s="25"/>
      <c r="J12" s="25"/>
      <c r="K12" s="25">
        <v>1</v>
      </c>
      <c r="L12" s="25" t="s">
        <v>64</v>
      </c>
      <c r="M12" s="25">
        <v>0</v>
      </c>
      <c r="N12" s="25"/>
      <c r="O12" s="25"/>
      <c r="P12" s="25"/>
      <c r="Q12" s="25">
        <v>1</v>
      </c>
      <c r="R12" s="25">
        <v>3</v>
      </c>
      <c r="S12" s="25"/>
      <c r="T12" s="25">
        <v>1</v>
      </c>
      <c r="U12" s="25">
        <v>1</v>
      </c>
      <c r="V12" s="48">
        <f t="shared" si="0"/>
        <v>6</v>
      </c>
      <c r="W12" s="175">
        <f t="shared" si="1"/>
        <v>3</v>
      </c>
      <c r="X12" s="175">
        <f t="shared" si="2"/>
        <v>7.5</v>
      </c>
      <c r="Y12" s="181">
        <f t="shared" si="3"/>
        <v>5.75</v>
      </c>
      <c r="Z12" s="207">
        <f t="shared" si="4"/>
        <v>2.875</v>
      </c>
      <c r="AA12" s="185"/>
      <c r="AB12" s="185"/>
      <c r="AC12" s="185"/>
      <c r="AD12" s="185"/>
      <c r="AE12" s="206">
        <f>IF($Z12="",0,IF($M12="",0,$M12))</f>
        <v>0</v>
      </c>
      <c r="AF12" s="206">
        <f>IF(OR($Z12="",$N12=""),0,$Z12*5%)</f>
        <v>0</v>
      </c>
      <c r="AG12" s="206">
        <f>IF(OR($Z12="",$O12=""),0,$Z12*10%)</f>
        <v>0</v>
      </c>
      <c r="AH12" s="206">
        <f>IF($Z12="",0,IF(AND($P12="",$Q12=""),($Z12-$AE12-$AF12-$AG12-$AJ12-$AK12-$AL12-$AM12),IF($P12="",0,IF($Q12="",($Z12-$AE12-$AF12-$AG12-$AJ12-$AK12-$AL12-$AM12),($Z12-$AE12-$AF12-$AG12-$AJ12-$AK12-$AL12-$AM12)-$AI12))))</f>
        <v>0</v>
      </c>
      <c r="AI12" s="206">
        <f>IF($Z12="",0,IF(AND($P12="",$Q12=""),0,IF($Q12="",0,IF($P12="",($Z12-$AE12-$AF12-$AG12-$AJ12-$AK12-$AL12-$AM12),($Z12-$AE12-$AF12-$AG12-$AJ12-$AK12-$AL12-$AM12)*15%/(50%+15%)))))</f>
        <v>-1.4125000000000001</v>
      </c>
      <c r="AJ12" s="206">
        <f>IF($Z12="",0,IF($R12="",0,$R12))</f>
        <v>3</v>
      </c>
      <c r="AK12" s="206">
        <f>IF(OR($Z12="",$S12=""),0,$Z12*10%)</f>
        <v>0</v>
      </c>
      <c r="AL12" s="206">
        <f>IF(OR($Z12="",$T12=""),0,$Z12*10%)</f>
        <v>0.28750000000000003</v>
      </c>
      <c r="AM12" s="206">
        <f>IF($Z12="",0,IF($U12="",0,$U12))</f>
        <v>1</v>
      </c>
      <c r="AN12" s="59">
        <f>SUM(AE12:AM12)</f>
        <v>2.875</v>
      </c>
    </row>
    <row r="13" spans="1:41" ht="15">
      <c r="A13" s="1">
        <v>10</v>
      </c>
      <c r="B13" s="266"/>
      <c r="C13" s="267"/>
      <c r="D13" s="55" t="s">
        <v>88</v>
      </c>
      <c r="E13" s="55"/>
      <c r="F13" s="1" t="s">
        <v>86</v>
      </c>
      <c r="G13" s="1"/>
      <c r="H13" s="25">
        <v>1</v>
      </c>
      <c r="I13" s="25"/>
      <c r="J13" s="25"/>
      <c r="K13" s="25">
        <v>1</v>
      </c>
      <c r="L13" s="25" t="s">
        <v>64</v>
      </c>
      <c r="M13" s="25">
        <v>0</v>
      </c>
      <c r="N13" s="25"/>
      <c r="O13" s="25"/>
      <c r="P13" s="25"/>
      <c r="Q13" s="25">
        <v>1</v>
      </c>
      <c r="R13" s="25">
        <v>5</v>
      </c>
      <c r="S13" s="25"/>
      <c r="T13" s="25">
        <v>1</v>
      </c>
      <c r="U13" s="25">
        <v>1</v>
      </c>
      <c r="V13" s="48">
        <f t="shared" si="0"/>
        <v>8</v>
      </c>
      <c r="W13" s="175">
        <f t="shared" si="1"/>
        <v>4</v>
      </c>
      <c r="X13" s="175">
        <f t="shared" si="2"/>
        <v>10</v>
      </c>
      <c r="Y13" s="181">
        <f t="shared" si="3"/>
        <v>7.666666666666667</v>
      </c>
      <c r="Z13" s="207">
        <f t="shared" si="4"/>
        <v>3.8333333333333335</v>
      </c>
      <c r="AA13" s="185"/>
      <c r="AB13" s="185"/>
      <c r="AC13" s="185"/>
      <c r="AD13" s="185"/>
      <c r="AE13" s="206">
        <f>IF($Z13="",0,IF($M13="",0,$M13))</f>
        <v>0</v>
      </c>
      <c r="AF13" s="206">
        <f>IF(OR($Z13="",$N13=""),0,$Z13*5%)</f>
        <v>0</v>
      </c>
      <c r="AG13" s="206">
        <f>IF(OR($Z13="",$O13=""),0,$Z13*10%)</f>
        <v>0</v>
      </c>
      <c r="AH13" s="206">
        <f>IF($Z13="",0,IF(AND($P13="",$Q13=""),($Z13-$AE13-$AF13-$AG13-$AJ13-$AK13-$AL13-$AM13),IF($P13="",0,IF($Q13="",($Z13-$AE13-$AF13-$AG13-$AJ13-$AK13-$AL13-$AM13),($Z13-$AE13-$AF13-$AG13-$AJ13-$AK13-$AL13-$AM13)-$AI13))))</f>
        <v>0</v>
      </c>
      <c r="AI13" s="206">
        <f>IF($Z13="",0,IF(AND($P13="",$Q13=""),0,IF($Q13="",0,IF($P13="",($Z13-$AE13-$AF13-$AG13-$AJ13-$AK13-$AL13-$AM13),($Z13-$AE13-$AF13-$AG13-$AJ13-$AK13-$AL13-$AM13)*15%/(50%+15%)))))</f>
        <v>-2.5499999999999998</v>
      </c>
      <c r="AJ13" s="206">
        <f>IF($Z13="",0,IF($R13="",0,$R13))</f>
        <v>5</v>
      </c>
      <c r="AK13" s="206">
        <f>IF(OR($Z13="",$S13=""),0,$Z13*10%)</f>
        <v>0</v>
      </c>
      <c r="AL13" s="206">
        <f>IF(OR($Z13="",$T13=""),0,$Z13*10%)</f>
        <v>0.38333333333333336</v>
      </c>
      <c r="AM13" s="206">
        <f>IF($Z13="",0,IF($U13="",0,$U13))</f>
        <v>1</v>
      </c>
      <c r="AN13" s="59">
        <f>SUM(AE13:AM13)</f>
        <v>3.8333333333333335</v>
      </c>
    </row>
    <row r="14" spans="1:41" ht="15">
      <c r="A14" s="1">
        <v>11</v>
      </c>
      <c r="B14" s="266"/>
      <c r="C14" s="267"/>
      <c r="D14" s="55" t="s">
        <v>89</v>
      </c>
      <c r="E14" s="55"/>
      <c r="F14" s="1" t="s">
        <v>86</v>
      </c>
      <c r="G14" s="1"/>
      <c r="H14" s="25">
        <v>1</v>
      </c>
      <c r="I14" s="25"/>
      <c r="J14" s="25"/>
      <c r="K14" s="25">
        <v>1</v>
      </c>
      <c r="L14" s="25" t="s">
        <v>64</v>
      </c>
      <c r="M14" s="25">
        <v>0</v>
      </c>
      <c r="N14" s="25"/>
      <c r="O14" s="25"/>
      <c r="P14" s="25"/>
      <c r="Q14" s="25">
        <v>1</v>
      </c>
      <c r="R14" s="25">
        <v>3</v>
      </c>
      <c r="S14" s="25"/>
      <c r="T14" s="25">
        <v>1</v>
      </c>
      <c r="U14" s="25">
        <v>1</v>
      </c>
      <c r="V14" s="48">
        <f t="shared" si="0"/>
        <v>6</v>
      </c>
      <c r="W14" s="175">
        <f t="shared" si="1"/>
        <v>3</v>
      </c>
      <c r="X14" s="175">
        <f t="shared" si="2"/>
        <v>7.5</v>
      </c>
      <c r="Y14" s="181">
        <f t="shared" si="3"/>
        <v>5.75</v>
      </c>
      <c r="Z14" s="207">
        <f t="shared" si="4"/>
        <v>2.875</v>
      </c>
      <c r="AA14" s="185"/>
      <c r="AB14" s="185"/>
      <c r="AC14" s="185"/>
      <c r="AD14" s="185"/>
      <c r="AE14" s="206">
        <f>IF($Z14="",0,IF($M14="",0,$M14))</f>
        <v>0</v>
      </c>
      <c r="AF14" s="206">
        <f>IF(OR($Z14="",$N14=""),0,$Z14*5%)</f>
        <v>0</v>
      </c>
      <c r="AG14" s="206">
        <f>IF(OR($Z14="",$O14=""),0,$Z14*10%)</f>
        <v>0</v>
      </c>
      <c r="AH14" s="206">
        <f>IF($Z14="",0,IF(AND($P14="",$Q14=""),($Z14-$AE14-$AF14-$AG14-$AJ14-$AK14-$AL14-$AM14),IF($P14="",0,IF($Q14="",($Z14-$AE14-$AF14-$AG14-$AJ14-$AK14-$AL14-$AM14),($Z14-$AE14-$AF14-$AG14-$AJ14-$AK14-$AL14-$AM14)-$AI14))))</f>
        <v>0</v>
      </c>
      <c r="AI14" s="206">
        <f>IF($Z14="",0,IF(AND($P14="",$Q14=""),0,IF($Q14="",0,IF($P14="",($Z14-$AE14-$AF14-$AG14-$AJ14-$AK14-$AL14-$AM14),($Z14-$AE14-$AF14-$AG14-$AJ14-$AK14-$AL14-$AM14)*15%/(50%+15%)))))</f>
        <v>-1.4125000000000001</v>
      </c>
      <c r="AJ14" s="206">
        <f>IF($Z14="",0,IF($R14="",0,$R14))</f>
        <v>3</v>
      </c>
      <c r="AK14" s="206">
        <f>IF(OR($Z14="",$S14=""),0,$Z14*10%)</f>
        <v>0</v>
      </c>
      <c r="AL14" s="206">
        <f>IF(OR($Z14="",$T14=""),0,$Z14*10%)</f>
        <v>0.28750000000000003</v>
      </c>
      <c r="AM14" s="206">
        <f>IF($Z14="",0,IF($U14="",0,$U14))</f>
        <v>1</v>
      </c>
      <c r="AN14" s="59">
        <f>SUM(AE14:AM14)</f>
        <v>2.875</v>
      </c>
    </row>
    <row r="15" spans="1:41" ht="15">
      <c r="A15" s="1">
        <v>12</v>
      </c>
      <c r="B15" s="266"/>
      <c r="C15" s="267"/>
      <c r="D15" s="55" t="s">
        <v>90</v>
      </c>
      <c r="E15" s="55"/>
      <c r="F15" s="1" t="s">
        <v>86</v>
      </c>
      <c r="G15" s="1"/>
      <c r="H15" s="25">
        <v>1</v>
      </c>
      <c r="I15" s="25"/>
      <c r="J15" s="25"/>
      <c r="K15" s="25">
        <v>1</v>
      </c>
      <c r="L15" s="25" t="s">
        <v>64</v>
      </c>
      <c r="M15" s="25">
        <v>0</v>
      </c>
      <c r="N15" s="25"/>
      <c r="O15" s="25"/>
      <c r="P15" s="25"/>
      <c r="Q15" s="25">
        <v>1</v>
      </c>
      <c r="R15" s="25">
        <v>0</v>
      </c>
      <c r="S15" s="25"/>
      <c r="T15" s="25">
        <v>1</v>
      </c>
      <c r="U15" s="25">
        <v>1</v>
      </c>
      <c r="V15" s="48">
        <f t="shared" si="0"/>
        <v>3</v>
      </c>
      <c r="W15" s="175">
        <f t="shared" si="1"/>
        <v>1.5</v>
      </c>
      <c r="X15" s="175">
        <f t="shared" si="2"/>
        <v>3.75</v>
      </c>
      <c r="Y15" s="181">
        <f t="shared" si="3"/>
        <v>2.875</v>
      </c>
      <c r="Z15" s="207">
        <f t="shared" si="4"/>
        <v>1.4375</v>
      </c>
      <c r="AA15" s="185"/>
      <c r="AB15" s="185"/>
      <c r="AC15" s="185"/>
      <c r="AD15" s="185"/>
      <c r="AE15" s="206">
        <f>IF($Z15="",0,IF($M15="",0,$M15))</f>
        <v>0</v>
      </c>
      <c r="AF15" s="206">
        <f>IF(OR($Z15="",$N15=""),0,$Z15*5%)</f>
        <v>0</v>
      </c>
      <c r="AG15" s="206">
        <f>IF(OR($Z15="",$O15=""),0,$Z15*10%)</f>
        <v>0</v>
      </c>
      <c r="AH15" s="206">
        <f>IF($Z15="",0,IF(AND($P15="",$Q15=""),($Z15-$AE15-$AF15-$AG15-$AJ15-$AK15-$AL15-$AM15),IF($P15="",0,IF($Q15="",($Z15-$AE15-$AF15-$AG15-$AJ15-$AK15-$AL15-$AM15),($Z15-$AE15-$AF15-$AG15-$AJ15-$AK15-$AL15-$AM15)-$AI15))))</f>
        <v>0</v>
      </c>
      <c r="AI15" s="206">
        <f>IF($Z15="",0,IF(AND($P15="",$Q15=""),0,IF($Q15="",0,IF($P15="",($Z15-$AE15-$AF15-$AG15-$AJ15-$AK15-$AL15-$AM15),($Z15-$AE15-$AF15-$AG15-$AJ15-$AK15-$AL15-$AM15)*15%/(50%+15%)))))</f>
        <v>0.29374999999999996</v>
      </c>
      <c r="AJ15" s="206">
        <f>IF($Z15="",0,IF($R15="",0,$R15))</f>
        <v>0</v>
      </c>
      <c r="AK15" s="206">
        <f>IF(OR($Z15="",$S15=""),0,$Z15*10%)</f>
        <v>0</v>
      </c>
      <c r="AL15" s="206">
        <f>IF(OR($Z15="",$T15=""),0,$Z15*10%)</f>
        <v>0.14375000000000002</v>
      </c>
      <c r="AM15" s="206">
        <f>IF($Z15="",0,IF($U15="",0,$U15))</f>
        <v>1</v>
      </c>
      <c r="AN15" s="59">
        <f>SUM(AE15:AM15)</f>
        <v>1.4375</v>
      </c>
    </row>
    <row r="16" spans="1:41" ht="15">
      <c r="A16" s="1">
        <v>13</v>
      </c>
      <c r="B16" s="266"/>
      <c r="C16" s="267"/>
      <c r="D16" s="55" t="s">
        <v>91</v>
      </c>
      <c r="E16" s="55"/>
      <c r="F16" s="1" t="s">
        <v>86</v>
      </c>
      <c r="G16" s="1"/>
      <c r="H16" s="25">
        <v>1</v>
      </c>
      <c r="I16" s="25"/>
      <c r="J16" s="25"/>
      <c r="K16" s="25">
        <v>1</v>
      </c>
      <c r="L16" s="25" t="s">
        <v>64</v>
      </c>
      <c r="M16" s="25">
        <v>0</v>
      </c>
      <c r="N16" s="25"/>
      <c r="O16" s="25"/>
      <c r="P16" s="25"/>
      <c r="Q16" s="25">
        <v>1</v>
      </c>
      <c r="R16" s="25">
        <v>4</v>
      </c>
      <c r="S16" s="25"/>
      <c r="T16" s="25">
        <v>1</v>
      </c>
      <c r="U16" s="25">
        <v>1</v>
      </c>
      <c r="V16" s="48">
        <f t="shared" si="0"/>
        <v>7</v>
      </c>
      <c r="W16" s="175">
        <f t="shared" si="1"/>
        <v>3.5</v>
      </c>
      <c r="X16" s="175">
        <f t="shared" si="2"/>
        <v>8.75</v>
      </c>
      <c r="Y16" s="181">
        <f t="shared" si="3"/>
        <v>6.708333333333333</v>
      </c>
      <c r="Z16" s="207">
        <f t="shared" si="4"/>
        <v>3.3541666666666665</v>
      </c>
      <c r="AA16" s="185"/>
      <c r="AB16" s="185"/>
      <c r="AC16" s="185"/>
      <c r="AD16" s="185"/>
      <c r="AE16" s="206">
        <f>IF($Z16="",0,IF($M16="",0,$M16))</f>
        <v>0</v>
      </c>
      <c r="AF16" s="206">
        <f>IF(OR($Z16="",$N16=""),0,$Z16*5%)</f>
        <v>0</v>
      </c>
      <c r="AG16" s="206">
        <f>IF(OR($Z16="",$O16=""),0,$Z16*10%)</f>
        <v>0</v>
      </c>
      <c r="AH16" s="206">
        <f>IF($Z16="",0,IF(AND($P16="",$Q16=""),($Z16-$AE16-$AF16-$AG16-$AJ16-$AK16-$AL16-$AM16),IF($P16="",0,IF($Q16="",($Z16-$AE16-$AF16-$AG16-$AJ16-$AK16-$AL16-$AM16),($Z16-$AE16-$AF16-$AG16-$AJ16-$AK16-$AL16-$AM16)-$AI16))))</f>
        <v>0</v>
      </c>
      <c r="AI16" s="206">
        <f>IF($Z16="",0,IF(AND($P16="",$Q16=""),0,IF($Q16="",0,IF($P16="",($Z16-$AE16-$AF16-$AG16-$AJ16-$AK16-$AL16-$AM16),($Z16-$AE16-$AF16-$AG16-$AJ16-$AK16-$AL16-$AM16)*15%/(50%+15%)))))</f>
        <v>-1.9812500000000002</v>
      </c>
      <c r="AJ16" s="206">
        <f>IF($Z16="",0,IF($R16="",0,$R16))</f>
        <v>4</v>
      </c>
      <c r="AK16" s="206">
        <f>IF(OR($Z16="",$S16=""),0,$Z16*10%)</f>
        <v>0</v>
      </c>
      <c r="AL16" s="206">
        <f>IF(OR($Z16="",$T16=""),0,$Z16*10%)</f>
        <v>0.3354166666666667</v>
      </c>
      <c r="AM16" s="206">
        <f>IF($Z16="",0,IF($U16="",0,$U16))</f>
        <v>1</v>
      </c>
      <c r="AN16" s="59">
        <f>SUM(AE16:AM16)</f>
        <v>3.3541666666666665</v>
      </c>
    </row>
    <row r="17" spans="1:41" ht="15">
      <c r="A17" s="1">
        <v>14</v>
      </c>
      <c r="B17" s="266"/>
      <c r="C17" s="267"/>
      <c r="D17" s="55" t="s">
        <v>92</v>
      </c>
      <c r="E17" s="55"/>
      <c r="F17" s="1" t="s">
        <v>86</v>
      </c>
      <c r="G17" s="1"/>
      <c r="H17" s="25">
        <v>1</v>
      </c>
      <c r="I17" s="25"/>
      <c r="J17" s="25"/>
      <c r="K17" s="25">
        <v>1</v>
      </c>
      <c r="L17" s="25" t="s">
        <v>64</v>
      </c>
      <c r="M17" s="25">
        <v>0</v>
      </c>
      <c r="N17" s="25"/>
      <c r="O17" s="25"/>
      <c r="P17" s="25"/>
      <c r="Q17" s="25">
        <v>1</v>
      </c>
      <c r="R17" s="25">
        <v>3</v>
      </c>
      <c r="S17" s="25"/>
      <c r="T17" s="25">
        <v>1</v>
      </c>
      <c r="U17" s="25">
        <v>1</v>
      </c>
      <c r="V17" s="48">
        <f t="shared" si="0"/>
        <v>6</v>
      </c>
      <c r="W17" s="175">
        <f t="shared" si="1"/>
        <v>3</v>
      </c>
      <c r="X17" s="175">
        <f t="shared" si="2"/>
        <v>7.5</v>
      </c>
      <c r="Y17" s="181">
        <f t="shared" si="3"/>
        <v>5.75</v>
      </c>
      <c r="Z17" s="207">
        <f t="shared" si="4"/>
        <v>2.875</v>
      </c>
      <c r="AA17" s="185"/>
      <c r="AB17" s="185"/>
      <c r="AC17" s="185"/>
      <c r="AD17" s="185"/>
      <c r="AE17" s="206">
        <f>IF($Z17="",0,IF($M17="",0,$M17))</f>
        <v>0</v>
      </c>
      <c r="AF17" s="206">
        <f>IF(OR($Z17="",$N17=""),0,$Z17*5%)</f>
        <v>0</v>
      </c>
      <c r="AG17" s="206">
        <f>IF(OR($Z17="",$O17=""),0,$Z17*10%)</f>
        <v>0</v>
      </c>
      <c r="AH17" s="206">
        <f>IF($Z17="",0,IF(AND($P17="",$Q17=""),($Z17-$AE17-$AF17-$AG17-$AJ17-$AK17-$AL17-$AM17),IF($P17="",0,IF($Q17="",($Z17-$AE17-$AF17-$AG17-$AJ17-$AK17-$AL17-$AM17),($Z17-$AE17-$AF17-$AG17-$AJ17-$AK17-$AL17-$AM17)-$AI17))))</f>
        <v>0</v>
      </c>
      <c r="AI17" s="206">
        <f>IF($Z17="",0,IF(AND($P17="",$Q17=""),0,IF($Q17="",0,IF($P17="",($Z17-$AE17-$AF17-$AG17-$AJ17-$AK17-$AL17-$AM17),($Z17-$AE17-$AF17-$AG17-$AJ17-$AK17-$AL17-$AM17)*15%/(50%+15%)))))</f>
        <v>-1.4125000000000001</v>
      </c>
      <c r="AJ17" s="206">
        <f>IF($Z17="",0,IF($R17="",0,$R17))</f>
        <v>3</v>
      </c>
      <c r="AK17" s="206">
        <f>IF(OR($Z17="",$S17=""),0,$Z17*10%)</f>
        <v>0</v>
      </c>
      <c r="AL17" s="206">
        <f>IF(OR($Z17="",$T17=""),0,$Z17*10%)</f>
        <v>0.28750000000000003</v>
      </c>
      <c r="AM17" s="206">
        <f>IF($Z17="",0,IF($U17="",0,$U17))</f>
        <v>1</v>
      </c>
      <c r="AN17" s="59">
        <f>SUM(AE17:AM17)</f>
        <v>2.875</v>
      </c>
    </row>
    <row r="18" spans="1:41" ht="15">
      <c r="A18" s="1">
        <v>15</v>
      </c>
      <c r="B18" s="266"/>
      <c r="C18" s="267"/>
      <c r="D18" s="55" t="s">
        <v>93</v>
      </c>
      <c r="E18" s="55"/>
      <c r="F18" s="1" t="s">
        <v>86</v>
      </c>
      <c r="G18" s="1"/>
      <c r="H18" s="25">
        <v>1</v>
      </c>
      <c r="I18" s="25"/>
      <c r="J18" s="25"/>
      <c r="K18" s="25">
        <v>1</v>
      </c>
      <c r="L18" s="25" t="s">
        <v>64</v>
      </c>
      <c r="M18" s="25">
        <v>0</v>
      </c>
      <c r="N18" s="25"/>
      <c r="O18" s="25"/>
      <c r="P18" s="25"/>
      <c r="Q18" s="25">
        <v>1</v>
      </c>
      <c r="R18" s="25">
        <v>4</v>
      </c>
      <c r="S18" s="25"/>
      <c r="T18" s="25">
        <v>1</v>
      </c>
      <c r="U18" s="25">
        <v>1</v>
      </c>
      <c r="V18" s="48">
        <f t="shared" si="0"/>
        <v>7</v>
      </c>
      <c r="W18" s="175">
        <f t="shared" si="1"/>
        <v>3.5</v>
      </c>
      <c r="X18" s="175">
        <f t="shared" si="2"/>
        <v>8.75</v>
      </c>
      <c r="Y18" s="181">
        <f t="shared" si="3"/>
        <v>6.708333333333333</v>
      </c>
      <c r="Z18" s="207">
        <f t="shared" si="4"/>
        <v>3.3541666666666665</v>
      </c>
      <c r="AA18" s="185"/>
      <c r="AB18" s="185"/>
      <c r="AC18" s="185"/>
      <c r="AD18" s="185"/>
      <c r="AE18" s="206">
        <f>IF($Z18="",0,IF($M18="",0,$M18))</f>
        <v>0</v>
      </c>
      <c r="AF18" s="206">
        <f>IF(OR($Z18="",$N18=""),0,$Z18*5%)</f>
        <v>0</v>
      </c>
      <c r="AG18" s="206">
        <f>IF(OR($Z18="",$O18=""),0,$Z18*10%)</f>
        <v>0</v>
      </c>
      <c r="AH18" s="206">
        <f>IF($Z18="",0,IF(AND($P18="",$Q18=""),($Z18-$AE18-$AF18-$AG18-$AJ18-$AK18-$AL18-$AM18),IF($P18="",0,IF($Q18="",($Z18-$AE18-$AF18-$AG18-$AJ18-$AK18-$AL18-$AM18),($Z18-$AE18-$AF18-$AG18-$AJ18-$AK18-$AL18-$AM18)-$AI18))))</f>
        <v>0</v>
      </c>
      <c r="AI18" s="206">
        <f>IF($Z18="",0,IF(AND($P18="",$Q18=""),0,IF($Q18="",0,IF($P18="",($Z18-$AE18-$AF18-$AG18-$AJ18-$AK18-$AL18-$AM18),($Z18-$AE18-$AF18-$AG18-$AJ18-$AK18-$AL18-$AM18)*15%/(50%+15%)))))</f>
        <v>-1.9812500000000002</v>
      </c>
      <c r="AJ18" s="206">
        <f>IF($Z18="",0,IF($R18="",0,$R18))</f>
        <v>4</v>
      </c>
      <c r="AK18" s="206">
        <f>IF(OR($Z18="",$S18=""),0,$Z18*10%)</f>
        <v>0</v>
      </c>
      <c r="AL18" s="206">
        <f>IF(OR($Z18="",$T18=""),0,$Z18*10%)</f>
        <v>0.3354166666666667</v>
      </c>
      <c r="AM18" s="206">
        <f>IF($Z18="",0,IF($U18="",0,$U18))</f>
        <v>1</v>
      </c>
      <c r="AN18" s="59">
        <f>SUM(AE18:AM18)</f>
        <v>3.3541666666666665</v>
      </c>
    </row>
    <row r="19" spans="1:41" ht="60.75">
      <c r="A19" s="1">
        <v>16</v>
      </c>
      <c r="B19" s="266"/>
      <c r="C19" s="267"/>
      <c r="D19" s="56" t="s">
        <v>94</v>
      </c>
      <c r="E19" s="237" t="s">
        <v>95</v>
      </c>
      <c r="F19" s="1" t="s">
        <v>86</v>
      </c>
      <c r="G19" s="1"/>
      <c r="H19" s="25">
        <v>1</v>
      </c>
      <c r="I19" s="25"/>
      <c r="J19" s="25"/>
      <c r="K19" s="25">
        <v>1</v>
      </c>
      <c r="L19" s="25" t="s">
        <v>67</v>
      </c>
      <c r="M19" s="25">
        <v>1</v>
      </c>
      <c r="N19" s="25"/>
      <c r="O19" s="25">
        <v>5</v>
      </c>
      <c r="P19" s="25">
        <v>30</v>
      </c>
      <c r="Q19" s="25">
        <v>5</v>
      </c>
      <c r="R19" s="25">
        <v>3</v>
      </c>
      <c r="S19" s="25"/>
      <c r="T19" s="25"/>
      <c r="U19" s="25">
        <v>3</v>
      </c>
      <c r="V19" s="48">
        <f t="shared" si="0"/>
        <v>47</v>
      </c>
      <c r="W19" s="175">
        <f t="shared" si="1"/>
        <v>23.5</v>
      </c>
      <c r="X19" s="175">
        <f t="shared" si="2"/>
        <v>58.75</v>
      </c>
      <c r="Y19" s="181">
        <f t="shared" si="3"/>
        <v>45.041666666666664</v>
      </c>
      <c r="Z19" s="207">
        <f t="shared" si="4"/>
        <v>22.520833333333332</v>
      </c>
      <c r="AA19" s="185">
        <v>46118</v>
      </c>
      <c r="AB19" s="185">
        <v>46135</v>
      </c>
      <c r="AC19" s="185">
        <v>46136</v>
      </c>
      <c r="AD19" s="229">
        <v>46141</v>
      </c>
      <c r="AE19" s="206">
        <f>IF($Z19="",0,IF($M19="",0,$M19))</f>
        <v>1</v>
      </c>
      <c r="AF19" s="206">
        <f>IF(OR($Z19="",$N19=""),0,$Z19*5%)</f>
        <v>0</v>
      </c>
      <c r="AG19" s="206">
        <f>IF(OR($Z19="",$O19=""),0,$Z19*10%)</f>
        <v>2.2520833333333332</v>
      </c>
      <c r="AH19" s="206">
        <f>IF($Z19="",0,IF(AND($P19="",$Q19=""),($Z19-$AE19-$AF19-$AG19-$AJ19-$AK19-$AL19-$AM19),IF($P19="",0,IF($Q19="",($Z19-$AE19-$AF19-$AG19-$AJ19-$AK19-$AL19-$AM19),($Z19-$AE19-$AF19-$AG19-$AJ19-$AK19-$AL19-$AM19)-$AI19))))</f>
        <v>10.206730769230766</v>
      </c>
      <c r="AI19" s="206">
        <f>IF($Z19="",0,IF(AND($P19="",$Q19=""),0,IF($Q19="",0,IF($P19="",($Z19-$AE19-$AF19-$AG19-$AJ19-$AK19-$AL19-$AM19),($Z19-$AE19-$AF19-$AG19-$AJ19-$AK19-$AL19-$AM19)*15%/(50%+15%)))))</f>
        <v>3.0620192307692298</v>
      </c>
      <c r="AJ19" s="206">
        <f>IF($Z19="",0,IF($R19="",0,$R19))</f>
        <v>3</v>
      </c>
      <c r="AK19" s="206">
        <f>IF(OR($Z19="",$S19=""),0,$Z19*10%)</f>
        <v>0</v>
      </c>
      <c r="AL19" s="206">
        <f>IF(OR($Z19="",$T19=""),0,$Z19*10%)</f>
        <v>0</v>
      </c>
      <c r="AM19" s="206">
        <f>IF($Z19="",0,IF($U19="",0,$U19))</f>
        <v>3</v>
      </c>
      <c r="AN19" s="59">
        <f>SUM(AE19:AM19)</f>
        <v>22.520833333333329</v>
      </c>
    </row>
    <row r="20" spans="1:41" ht="60.75">
      <c r="A20" s="1">
        <v>17</v>
      </c>
      <c r="B20" s="266"/>
      <c r="C20" s="267"/>
      <c r="D20" s="56" t="s">
        <v>96</v>
      </c>
      <c r="E20" s="237" t="s">
        <v>97</v>
      </c>
      <c r="F20" s="1" t="s">
        <v>86</v>
      </c>
      <c r="G20" s="1"/>
      <c r="H20" s="25">
        <v>1</v>
      </c>
      <c r="I20" s="25"/>
      <c r="J20" s="25"/>
      <c r="K20" s="25">
        <v>1</v>
      </c>
      <c r="L20" s="25"/>
      <c r="M20" s="25">
        <v>4</v>
      </c>
      <c r="N20" s="25"/>
      <c r="O20" s="25"/>
      <c r="P20" s="25">
        <v>20</v>
      </c>
      <c r="Q20" s="25">
        <v>10</v>
      </c>
      <c r="R20" s="25">
        <v>5</v>
      </c>
      <c r="S20" s="25">
        <v>5</v>
      </c>
      <c r="T20" s="25"/>
      <c r="U20" s="25">
        <v>3</v>
      </c>
      <c r="V20" s="48">
        <f t="shared" si="0"/>
        <v>47</v>
      </c>
      <c r="W20" s="175">
        <f t="shared" si="1"/>
        <v>23.5</v>
      </c>
      <c r="X20" s="175">
        <f t="shared" si="2"/>
        <v>58.75</v>
      </c>
      <c r="Y20" s="181">
        <f t="shared" si="3"/>
        <v>45.041666666666664</v>
      </c>
      <c r="Z20" s="207">
        <f t="shared" si="4"/>
        <v>22.520833333333332</v>
      </c>
      <c r="AA20" s="185">
        <v>46118</v>
      </c>
      <c r="AB20" s="185">
        <v>46128</v>
      </c>
      <c r="AC20" s="185">
        <v>46129</v>
      </c>
      <c r="AD20" s="229">
        <v>46139</v>
      </c>
      <c r="AE20" s="206">
        <f>IF($Z20="",0,IF($M20="",0,$M20))</f>
        <v>4</v>
      </c>
      <c r="AF20" s="206">
        <f>IF(OR($Z20="",$N20=""),0,$Z20*5%)</f>
        <v>0</v>
      </c>
      <c r="AG20" s="206">
        <f>IF(OR($Z20="",$O20=""),0,$Z20*10%)</f>
        <v>0</v>
      </c>
      <c r="AH20" s="206">
        <f>IF($Z20="",0,IF(AND($P20="",$Q20=""),($Z20-$AE20-$AF20-$AG20-$AJ20-$AK20-$AL20-$AM20),IF($P20="",0,IF($Q20="",($Z20-$AE20-$AF20-$AG20-$AJ20-$AK20-$AL20-$AM20),($Z20-$AE20-$AF20-$AG20-$AJ20-$AK20-$AL20-$AM20)-$AI20))))</f>
        <v>6.3605769230769225</v>
      </c>
      <c r="AI20" s="206">
        <f>IF($Z20="",0,IF(AND($P20="",$Q20=""),0,IF($Q20="",0,IF($P20="",($Z20-$AE20-$AF20-$AG20-$AJ20-$AK20-$AL20-$AM20),($Z20-$AE20-$AF20-$AG20-$AJ20-$AK20-$AL20-$AM20)*15%/(50%+15%)))))</f>
        <v>1.9081730769230765</v>
      </c>
      <c r="AJ20" s="206">
        <f>IF($Z20="",0,IF($R20="",0,$R20))</f>
        <v>5</v>
      </c>
      <c r="AK20" s="206">
        <f>IF(OR($Z20="",$S20=""),0,$Z20*10%)</f>
        <v>2.2520833333333332</v>
      </c>
      <c r="AL20" s="206">
        <f>IF(OR($Z20="",$T20=""),0,$Z20*10%)</f>
        <v>0</v>
      </c>
      <c r="AM20" s="206">
        <f>IF($Z20="",0,IF($U20="",0,$U20))</f>
        <v>3</v>
      </c>
      <c r="AN20" s="59">
        <f>SUM(AE20:AM20)</f>
        <v>22.520833333333336</v>
      </c>
    </row>
    <row r="21" spans="1:41" ht="15">
      <c r="A21" s="1">
        <v>18</v>
      </c>
      <c r="B21" s="266"/>
      <c r="C21" s="267"/>
      <c r="D21" s="56" t="s">
        <v>98</v>
      </c>
      <c r="E21" s="56"/>
      <c r="F21" s="1" t="s">
        <v>86</v>
      </c>
      <c r="G21" s="1"/>
      <c r="H21" s="25">
        <v>1</v>
      </c>
      <c r="I21" s="25"/>
      <c r="J21" s="25"/>
      <c r="K21" s="25">
        <v>1</v>
      </c>
      <c r="L21" s="25" t="s">
        <v>67</v>
      </c>
      <c r="M21" s="25">
        <v>5</v>
      </c>
      <c r="N21" s="25"/>
      <c r="O21" s="25"/>
      <c r="P21" s="25"/>
      <c r="Q21" s="25"/>
      <c r="R21" s="25">
        <v>0</v>
      </c>
      <c r="S21" s="25"/>
      <c r="T21" s="25"/>
      <c r="U21" s="25"/>
      <c r="V21" s="48">
        <f t="shared" si="0"/>
        <v>5</v>
      </c>
      <c r="W21" s="175">
        <f t="shared" si="1"/>
        <v>2.5</v>
      </c>
      <c r="X21" s="175">
        <f t="shared" si="2"/>
        <v>6.25</v>
      </c>
      <c r="Y21" s="181">
        <f t="shared" si="3"/>
        <v>4.791666666666667</v>
      </c>
      <c r="Z21" s="207">
        <f t="shared" si="4"/>
        <v>2.3958333333333335</v>
      </c>
      <c r="AA21" s="185"/>
      <c r="AB21" s="185"/>
      <c r="AC21" s="185"/>
      <c r="AD21" s="185"/>
      <c r="AE21" s="206">
        <f>IF($Z21="",0,IF($M21="",0,$M21))</f>
        <v>5</v>
      </c>
      <c r="AF21" s="206">
        <f>IF(OR($Z21="",$N21=""),0,$Z21*5%)</f>
        <v>0</v>
      </c>
      <c r="AG21" s="206">
        <f>IF(OR($Z21="",$O21=""),0,$Z21*10%)</f>
        <v>0</v>
      </c>
      <c r="AH21" s="206">
        <f>IF($Z21="",0,IF(AND($P21="",$Q21=""),($Z21-$AE21-$AF21-$AG21-$AJ21-$AK21-$AL21-$AM21),IF($P21="",0,IF($Q21="",($Z21-$AE21-$AF21-$AG21-$AJ21-$AK21-$AL21-$AM21),($Z21-$AE21-$AF21-$AG21-$AJ21-$AK21-$AL21-$AM21)-$AI21))))</f>
        <v>-2.6041666666666665</v>
      </c>
      <c r="AI21" s="206">
        <f>IF($Z21="",0,IF(AND($P21="",$Q21=""),0,IF($Q21="",0,IF($P21="",($Z21-$AE21-$AF21-$AG21-$AJ21-$AK21-$AL21-$AM21),($Z21-$AE21-$AF21-$AG21-$AJ21-$AK21-$AL21-$AM21)*15%/(50%+15%)))))</f>
        <v>0</v>
      </c>
      <c r="AJ21" s="206">
        <f>IF($Z21="",0,IF($R21="",0,$R21))</f>
        <v>0</v>
      </c>
      <c r="AK21" s="206">
        <f>IF(OR($Z21="",$S21=""),0,$Z21*10%)</f>
        <v>0</v>
      </c>
      <c r="AL21" s="206">
        <f>IF(OR($Z21="",$T21=""),0,$Z21*10%)</f>
        <v>0</v>
      </c>
      <c r="AM21" s="206">
        <f>IF($Z21="",0,IF($U21="",0,$U21))</f>
        <v>0</v>
      </c>
      <c r="AN21" s="59">
        <f>SUM(AE21:AM21)</f>
        <v>2.3958333333333335</v>
      </c>
    </row>
    <row r="22" spans="1:41" ht="15">
      <c r="A22" s="1">
        <v>19</v>
      </c>
      <c r="B22" s="266"/>
      <c r="C22" s="267"/>
      <c r="D22" s="55" t="s">
        <v>99</v>
      </c>
      <c r="E22" s="55"/>
      <c r="F22" s="1" t="s">
        <v>86</v>
      </c>
      <c r="G22" s="1"/>
      <c r="H22" s="25">
        <v>1</v>
      </c>
      <c r="I22" s="25"/>
      <c r="J22" s="25"/>
      <c r="K22" s="60" t="s">
        <v>100</v>
      </c>
      <c r="L22" s="25" t="s">
        <v>64</v>
      </c>
      <c r="M22" s="25">
        <v>8</v>
      </c>
      <c r="N22" s="25"/>
      <c r="O22" s="25"/>
      <c r="P22" s="25"/>
      <c r="Q22" s="25"/>
      <c r="R22" s="25">
        <v>0</v>
      </c>
      <c r="S22" s="25"/>
      <c r="T22" s="25"/>
      <c r="U22" s="25"/>
      <c r="V22" s="48">
        <f t="shared" si="0"/>
        <v>8</v>
      </c>
      <c r="W22" s="175">
        <f t="shared" si="1"/>
        <v>4</v>
      </c>
      <c r="X22" s="175">
        <f t="shared" si="2"/>
        <v>10</v>
      </c>
      <c r="Y22" s="181">
        <f t="shared" si="3"/>
        <v>7.666666666666667</v>
      </c>
      <c r="Z22" s="207">
        <f t="shared" si="4"/>
        <v>3.8333333333333335</v>
      </c>
      <c r="AA22" s="185"/>
      <c r="AB22" s="185"/>
      <c r="AC22" s="185"/>
      <c r="AD22" s="185"/>
      <c r="AE22" s="206">
        <f>IF($Z22="",0,IF($M22="",0,$M22))</f>
        <v>8</v>
      </c>
      <c r="AF22" s="206">
        <f>IF(OR($Z22="",$N22=""),0,$Z22*5%)</f>
        <v>0</v>
      </c>
      <c r="AG22" s="206">
        <f>IF(OR($Z22="",$O22=""),0,$Z22*10%)</f>
        <v>0</v>
      </c>
      <c r="AH22" s="206">
        <f>IF($Z22="",0,IF(AND($P22="",$Q22=""),($Z22-$AE22-$AF22-$AG22-$AJ22-$AK22-$AL22-$AM22),IF($P22="",0,IF($Q22="",($Z22-$AE22-$AF22-$AG22-$AJ22-$AK22-$AL22-$AM22),($Z22-$AE22-$AF22-$AG22-$AJ22-$AK22-$AL22-$AM22)-$AI22))))</f>
        <v>-4.1666666666666661</v>
      </c>
      <c r="AI22" s="206">
        <f>IF($Z22="",0,IF(AND($P22="",$Q22=""),0,IF($Q22="",0,IF($P22="",($Z22-$AE22-$AF22-$AG22-$AJ22-$AK22-$AL22-$AM22),($Z22-$AE22-$AF22-$AG22-$AJ22-$AK22-$AL22-$AM22)*15%/(50%+15%)))))</f>
        <v>0</v>
      </c>
      <c r="AJ22" s="206">
        <f>IF($Z22="",0,IF($R22="",0,$R22))</f>
        <v>0</v>
      </c>
      <c r="AK22" s="206">
        <f>IF(OR($Z22="",$S22=""),0,$Z22*10%)</f>
        <v>0</v>
      </c>
      <c r="AL22" s="206">
        <f>IF(OR($Z22="",$T22=""),0,$Z22*10%)</f>
        <v>0</v>
      </c>
      <c r="AM22" s="206">
        <f>IF($Z22="",0,IF($U22="",0,$U22))</f>
        <v>0</v>
      </c>
      <c r="AN22" s="59">
        <f>SUM(AE22:AM22)</f>
        <v>3.8333333333333339</v>
      </c>
    </row>
    <row r="23" spans="1:41" ht="15">
      <c r="A23" s="1">
        <v>20</v>
      </c>
      <c r="B23" s="266"/>
      <c r="C23" s="267" t="s">
        <v>101</v>
      </c>
      <c r="D23" s="53" t="s">
        <v>102</v>
      </c>
      <c r="E23" s="53"/>
      <c r="F23" s="1" t="s">
        <v>63</v>
      </c>
      <c r="G23" s="1"/>
      <c r="H23" s="25"/>
      <c r="I23" s="25"/>
      <c r="J23" s="25"/>
      <c r="K23" s="25"/>
      <c r="L23" s="25" t="s">
        <v>67</v>
      </c>
      <c r="M23" s="25" t="s">
        <v>103</v>
      </c>
      <c r="N23" s="25"/>
      <c r="O23" s="25"/>
      <c r="P23" s="25"/>
      <c r="Q23" s="25"/>
      <c r="R23" s="25" t="s">
        <v>103</v>
      </c>
      <c r="S23" s="25"/>
      <c r="T23" s="25"/>
      <c r="U23" s="25"/>
      <c r="V23" s="48">
        <f t="shared" si="0"/>
        <v>0</v>
      </c>
      <c r="W23" s="175">
        <f t="shared" si="1"/>
        <v>0</v>
      </c>
      <c r="X23" s="175">
        <f t="shared" si="2"/>
        <v>0</v>
      </c>
      <c r="Y23" s="181">
        <f t="shared" si="3"/>
        <v>0</v>
      </c>
      <c r="Z23" s="207">
        <f t="shared" si="4"/>
        <v>0</v>
      </c>
      <c r="AA23" s="185"/>
      <c r="AB23" s="185"/>
      <c r="AC23" s="185"/>
      <c r="AD23" s="185"/>
      <c r="AE23" s="206" t="str">
        <f>IF($Z23="",0,IF($M23="",0,$M23))</f>
        <v>-</v>
      </c>
      <c r="AF23" s="206">
        <f>IF(OR($Z23="",$N23=""),0,$Z23*5%)</f>
        <v>0</v>
      </c>
      <c r="AG23" s="206">
        <f>IF(OR($Z23="",$O23=""),0,$Z23*10%)</f>
        <v>0</v>
      </c>
      <c r="AH23" s="206"/>
      <c r="AI23" s="206">
        <f>IF($Z23="",0,IF(AND($P23="",$Q23=""),0,IF($Q23="",0,IF($P23="",($Z23-$AE23-$AF23-$AG23-$AJ23-$AK23-$AL23-$AM23),($Z23-$AE23-$AF23-$AG23-$AJ23-$AK23-$AL23-$AM23)*15%/(50%+15%)))))</f>
        <v>0</v>
      </c>
      <c r="AJ23" s="206" t="str">
        <f>IF($Z23="",0,IF($R23="",0,$R23))</f>
        <v>-</v>
      </c>
      <c r="AK23" s="206">
        <f>IF(OR($Z23="",$S23=""),0,$Z23*10%)</f>
        <v>0</v>
      </c>
      <c r="AL23" s="206">
        <f>IF(OR($Z23="",$T23=""),0,$Z23*10%)</f>
        <v>0</v>
      </c>
      <c r="AM23" s="206">
        <f>IF($Z23="",0,IF($U23="",0,$U23))</f>
        <v>0</v>
      </c>
      <c r="AN23" s="59">
        <f>SUM(AE23:AM23)</f>
        <v>0</v>
      </c>
    </row>
    <row r="24" spans="1:41" ht="30.75">
      <c r="A24" s="1">
        <v>21</v>
      </c>
      <c r="B24" s="266"/>
      <c r="C24" s="267"/>
      <c r="D24" s="67" t="s">
        <v>104</v>
      </c>
      <c r="E24" s="67"/>
      <c r="F24" s="1" t="s">
        <v>63</v>
      </c>
      <c r="G24" s="1"/>
      <c r="H24" s="25"/>
      <c r="I24" s="25"/>
      <c r="J24" s="25"/>
      <c r="K24" s="25">
        <v>2</v>
      </c>
      <c r="L24" s="25" t="s">
        <v>67</v>
      </c>
      <c r="M24" s="25" t="s">
        <v>103</v>
      </c>
      <c r="N24" s="25"/>
      <c r="O24" s="25"/>
      <c r="P24" s="25"/>
      <c r="Q24" s="25"/>
      <c r="R24" s="25" t="s">
        <v>103</v>
      </c>
      <c r="S24" s="25"/>
      <c r="T24" s="25"/>
      <c r="U24" s="25"/>
      <c r="V24" s="48">
        <f t="shared" si="0"/>
        <v>0</v>
      </c>
      <c r="W24" s="175">
        <f t="shared" si="1"/>
        <v>0</v>
      </c>
      <c r="X24" s="175">
        <f t="shared" si="2"/>
        <v>0</v>
      </c>
      <c r="Y24" s="181">
        <f t="shared" si="3"/>
        <v>0</v>
      </c>
      <c r="Z24" s="207">
        <f t="shared" si="4"/>
        <v>0</v>
      </c>
      <c r="AA24" s="185"/>
      <c r="AB24" s="185"/>
      <c r="AC24" s="185"/>
      <c r="AD24" s="185"/>
      <c r="AE24" s="206" t="str">
        <f>IF($Z24="",0,IF($M24="",0,$M24))</f>
        <v>-</v>
      </c>
      <c r="AF24" s="206">
        <f>IF(OR($Z24="",$N24=""),0,$Z24*5%)</f>
        <v>0</v>
      </c>
      <c r="AG24" s="206">
        <f>IF(OR($Z24="",$O24=""),0,$Z24*10%)</f>
        <v>0</v>
      </c>
      <c r="AH24" s="206"/>
      <c r="AI24" s="206">
        <f>IF($Z24="",0,IF(AND($P24="",$Q24=""),0,IF($Q24="",0,IF($P24="",($Z24-$AE24-$AF24-$AG24-$AJ24-$AK24-$AL24-$AM24),($Z24-$AE24-$AF24-$AG24-$AJ24-$AK24-$AL24-$AM24)*15%/(50%+15%)))))</f>
        <v>0</v>
      </c>
      <c r="AJ24" s="206" t="str">
        <f>IF($Z24="",0,IF($R24="",0,$R24))</f>
        <v>-</v>
      </c>
      <c r="AK24" s="206">
        <f>IF(OR($Z24="",$S24=""),0,$Z24*10%)</f>
        <v>0</v>
      </c>
      <c r="AL24" s="206">
        <f>IF(OR($Z24="",$T24=""),0,$Z24*10%)</f>
        <v>0</v>
      </c>
      <c r="AM24" s="206">
        <f>IF($Z24="",0,IF($U24="",0,$U24))</f>
        <v>0</v>
      </c>
      <c r="AN24" s="59">
        <f>SUM(AE24:AM24)</f>
        <v>0</v>
      </c>
    </row>
    <row r="25" spans="1:41" ht="30.75">
      <c r="A25" s="1">
        <v>25</v>
      </c>
      <c r="B25" s="266"/>
      <c r="C25" s="267"/>
      <c r="D25" s="67" t="s">
        <v>105</v>
      </c>
      <c r="E25" s="67"/>
      <c r="F25" s="1" t="s">
        <v>63</v>
      </c>
      <c r="G25" s="1" t="s">
        <v>106</v>
      </c>
      <c r="H25" s="25"/>
      <c r="I25" s="25"/>
      <c r="J25" s="25"/>
      <c r="K25" s="25">
        <v>2</v>
      </c>
      <c r="L25" s="25" t="s">
        <v>67</v>
      </c>
      <c r="M25" s="25"/>
      <c r="N25" s="25"/>
      <c r="O25" s="25"/>
      <c r="P25" s="25"/>
      <c r="Q25" s="25"/>
      <c r="R25" s="25"/>
      <c r="S25" s="25"/>
      <c r="T25" s="25"/>
      <c r="U25" s="25"/>
      <c r="V25" s="48">
        <f t="shared" si="0"/>
        <v>0</v>
      </c>
      <c r="W25" s="175">
        <f t="shared" si="1"/>
        <v>0</v>
      </c>
      <c r="X25" s="175">
        <f t="shared" si="2"/>
        <v>0</v>
      </c>
      <c r="Y25" s="181">
        <f t="shared" si="3"/>
        <v>0</v>
      </c>
      <c r="Z25" s="207">
        <f t="shared" si="4"/>
        <v>0</v>
      </c>
      <c r="AA25" s="185"/>
      <c r="AB25" s="185"/>
      <c r="AC25" s="185"/>
      <c r="AD25" s="185"/>
      <c r="AE25" s="206">
        <f>IF($Z25="",0,IF($M25="",0,$M25))</f>
        <v>0</v>
      </c>
      <c r="AF25" s="206">
        <f>IF(OR($Z25="",$N25=""),0,$Z25*5%)</f>
        <v>0</v>
      </c>
      <c r="AG25" s="206">
        <f>IF(OR($Z25="",$O25=""),0,$Z25*10%)</f>
        <v>0</v>
      </c>
      <c r="AH25" s="206">
        <f>IF($Z25="",0,IF(AND($P25="",$Q25=""),($Z25-$AE25-$AF25-$AG25-$AJ25-$AK25-$AL25-$AM25),IF($P25="",0,IF($Q25="",($Z25-$AE25-$AF25-$AG25-$AJ25-$AK25-$AL25-$AM25),($Z25-$AE25-$AF25-$AG25-$AJ25-$AK25-$AL25-$AM25)-$AI25))))</f>
        <v>0</v>
      </c>
      <c r="AI25" s="206">
        <f>IF($Z25="",0,IF(AND($P25="",$Q25=""),0,IF($Q25="",0,IF($P25="",($Z25-$AE25-$AF25-$AG25-$AJ25-$AK25-$AL25-$AM25),($Z25-$AE25-$AF25-$AG25-$AJ25-$AK25-$AL25-$AM25)*15%/(50%+15%)))))</f>
        <v>0</v>
      </c>
      <c r="AJ25" s="206">
        <f>IF($Z25="",0,IF($R25="",0,$R25))</f>
        <v>0</v>
      </c>
      <c r="AK25" s="206">
        <f>IF(OR($Z25="",$S25=""),0,$Z25*10%)</f>
        <v>0</v>
      </c>
      <c r="AL25" s="206">
        <f>IF(OR($Z25="",$T25=""),0,$Z25*10%)</f>
        <v>0</v>
      </c>
      <c r="AM25" s="206">
        <f>IF($Z25="",0,IF($U25="",0,$U25))</f>
        <v>0</v>
      </c>
      <c r="AN25" s="59">
        <f>SUM(AE25:AM25)</f>
        <v>0</v>
      </c>
    </row>
    <row r="26" spans="1:41" ht="15">
      <c r="A26" s="1">
        <v>26</v>
      </c>
      <c r="B26" s="266"/>
      <c r="C26" s="267" t="s">
        <v>107</v>
      </c>
      <c r="D26" s="202" t="s">
        <v>108</v>
      </c>
      <c r="E26" s="202"/>
      <c r="F26" s="1" t="s">
        <v>66</v>
      </c>
      <c r="G26" s="1" t="s">
        <v>106</v>
      </c>
      <c r="H26" s="25">
        <v>3</v>
      </c>
      <c r="I26" s="25"/>
      <c r="J26" s="25"/>
      <c r="K26" s="25">
        <v>3</v>
      </c>
      <c r="L26" s="25" t="s">
        <v>67</v>
      </c>
      <c r="M26" s="25"/>
      <c r="N26" s="25"/>
      <c r="O26" s="25"/>
      <c r="P26" s="25"/>
      <c r="Q26" s="25"/>
      <c r="R26" s="25"/>
      <c r="S26" s="25"/>
      <c r="T26" s="25"/>
      <c r="U26" s="25"/>
      <c r="V26" s="48">
        <f t="shared" si="0"/>
        <v>0</v>
      </c>
      <c r="W26" s="175">
        <f t="shared" si="1"/>
        <v>0</v>
      </c>
      <c r="X26" s="175">
        <f t="shared" si="2"/>
        <v>0</v>
      </c>
      <c r="Y26" s="181">
        <f t="shared" si="3"/>
        <v>0</v>
      </c>
      <c r="Z26" s="207">
        <f t="shared" si="4"/>
        <v>0</v>
      </c>
      <c r="AA26" s="185"/>
      <c r="AB26" s="185"/>
      <c r="AC26" s="185"/>
      <c r="AD26" s="185"/>
      <c r="AE26" s="206">
        <f>IF($Z26="",0,IF($M26="",0,$M26))</f>
        <v>0</v>
      </c>
      <c r="AF26" s="206">
        <f>IF(OR($Z26="",$N26=""),0,$Z26*5%)</f>
        <v>0</v>
      </c>
      <c r="AG26" s="206">
        <f>IF(OR($Z26="",$O26=""),0,$Z26*10%)</f>
        <v>0</v>
      </c>
      <c r="AH26" s="206">
        <f>IF($Z26="",0,IF(AND($P26="",$Q26=""),($Z26-$AE26-$AF26-$AG26-$AJ26-$AK26-$AL26-$AM26),IF($P26="",0,IF($Q26="",($Z26-$AE26-$AF26-$AG26-$AJ26-$AK26-$AL26-$AM26),($Z26-$AE26-$AF26-$AG26-$AJ26-$AK26-$AL26-$AM26)-$AI26))))</f>
        <v>0</v>
      </c>
      <c r="AI26" s="206">
        <f>IF($Z26="",0,IF(AND($P26="",$Q26=""),0,IF($Q26="",0,IF($P26="",($Z26-$AE26-$AF26-$AG26-$AJ26-$AK26-$AL26-$AM26),($Z26-$AE26-$AF26-$AG26-$AJ26-$AK26-$AL26-$AM26)*15%/(50%+15%)))))</f>
        <v>0</v>
      </c>
      <c r="AJ26" s="206">
        <f>IF($Z26="",0,IF($R26="",0,$R26))</f>
        <v>0</v>
      </c>
      <c r="AK26" s="206">
        <f>IF(OR($Z26="",$S26=""),0,$Z26*10%)</f>
        <v>0</v>
      </c>
      <c r="AL26" s="206">
        <f>IF(OR($Z26="",$T26=""),0,$Z26*10%)</f>
        <v>0</v>
      </c>
      <c r="AM26" s="206">
        <f>IF($Z26="",0,IF($U26="",0,$U26))</f>
        <v>0</v>
      </c>
      <c r="AN26" s="59">
        <f>SUM(AE26:AM26)</f>
        <v>0</v>
      </c>
      <c r="AO26" t="s">
        <v>109</v>
      </c>
    </row>
    <row r="27" spans="1:41" ht="15">
      <c r="A27" s="1">
        <v>27</v>
      </c>
      <c r="B27" s="266"/>
      <c r="C27" s="267"/>
      <c r="D27" s="53" t="s">
        <v>110</v>
      </c>
      <c r="E27" s="53"/>
      <c r="F27" s="1" t="s">
        <v>63</v>
      </c>
      <c r="G27" s="1"/>
      <c r="H27" s="25">
        <v>3</v>
      </c>
      <c r="I27" s="25"/>
      <c r="J27" s="25"/>
      <c r="K27" s="25">
        <v>1</v>
      </c>
      <c r="L27" s="25" t="s">
        <v>67</v>
      </c>
      <c r="M27" s="25"/>
      <c r="N27" s="25"/>
      <c r="O27" s="25"/>
      <c r="P27" s="25"/>
      <c r="Q27" s="25"/>
      <c r="R27" s="25"/>
      <c r="S27" s="25"/>
      <c r="T27" s="25"/>
      <c r="U27" s="25"/>
      <c r="V27" s="48">
        <f t="shared" si="0"/>
        <v>0</v>
      </c>
      <c r="W27" s="175">
        <f t="shared" si="1"/>
        <v>0</v>
      </c>
      <c r="X27" s="175">
        <f t="shared" si="2"/>
        <v>0</v>
      </c>
      <c r="Y27" s="181">
        <f t="shared" si="3"/>
        <v>0</v>
      </c>
      <c r="Z27" s="207">
        <f t="shared" si="4"/>
        <v>0</v>
      </c>
      <c r="AA27" s="185"/>
      <c r="AB27" s="185"/>
      <c r="AC27" s="185"/>
      <c r="AD27" s="185"/>
      <c r="AE27" s="206">
        <f>IF($Z27="",0,IF($M27="",0,$M27))</f>
        <v>0</v>
      </c>
      <c r="AF27" s="206">
        <f>IF(OR($Z27="",$N27=""),0,$Z27*5%)</f>
        <v>0</v>
      </c>
      <c r="AG27" s="206">
        <f>IF(OR($Z27="",$O27=""),0,$Z27*10%)</f>
        <v>0</v>
      </c>
      <c r="AH27" s="206">
        <f>IF($Z27="",0,IF(AND($P27="",$Q27=""),($Z27-$AE27-$AF27-$AG27-$AJ27-$AK27-$AL27-$AM27),IF($P27="",0,IF($Q27="",($Z27-$AE27-$AF27-$AG27-$AJ27-$AK27-$AL27-$AM27),($Z27-$AE27-$AF27-$AG27-$AJ27-$AK27-$AL27-$AM27)-$AI27))))</f>
        <v>0</v>
      </c>
      <c r="AI27" s="206">
        <f>IF($Z27="",0,IF(AND($P27="",$Q27=""),0,IF($Q27="",0,IF($P27="",($Z27-$AE27-$AF27-$AG27-$AJ27-$AK27-$AL27-$AM27),($Z27-$AE27-$AF27-$AG27-$AJ27-$AK27-$AL27-$AM27)*15%/(50%+15%)))))</f>
        <v>0</v>
      </c>
      <c r="AJ27" s="206">
        <f>IF($Z27="",0,IF($R27="",0,$R27))</f>
        <v>0</v>
      </c>
      <c r="AK27" s="206">
        <f>IF(OR($Z27="",$S27=""),0,$Z27*10%)</f>
        <v>0</v>
      </c>
      <c r="AL27" s="206">
        <f>IF(OR($Z27="",$T27=""),0,$Z27*10%)</f>
        <v>0</v>
      </c>
      <c r="AM27" s="206">
        <f>IF($Z27="",0,IF($U27="",0,$U27))</f>
        <v>0</v>
      </c>
      <c r="AN27" s="59">
        <f>SUM(AE27:AM27)</f>
        <v>0</v>
      </c>
    </row>
    <row r="28" spans="1:41" ht="60.75">
      <c r="A28" s="1">
        <v>28</v>
      </c>
      <c r="B28" s="266"/>
      <c r="C28" s="2" t="s">
        <v>111</v>
      </c>
      <c r="D28" s="53" t="s">
        <v>112</v>
      </c>
      <c r="E28" s="237" t="s">
        <v>113</v>
      </c>
      <c r="F28" s="24" t="s">
        <v>63</v>
      </c>
      <c r="G28" s="1"/>
      <c r="H28" s="25">
        <v>1</v>
      </c>
      <c r="I28" s="25"/>
      <c r="J28" s="25"/>
      <c r="K28" s="25">
        <v>2</v>
      </c>
      <c r="L28" s="25" t="s">
        <v>64</v>
      </c>
      <c r="M28" s="25"/>
      <c r="N28" s="25"/>
      <c r="O28" s="25">
        <v>2</v>
      </c>
      <c r="P28" s="25">
        <v>20</v>
      </c>
      <c r="Q28" s="25">
        <v>15</v>
      </c>
      <c r="R28" s="25"/>
      <c r="S28" s="25">
        <v>4</v>
      </c>
      <c r="T28" s="25">
        <v>25</v>
      </c>
      <c r="U28" s="25">
        <f>7+10+2</f>
        <v>19</v>
      </c>
      <c r="V28" s="48">
        <f t="shared" si="0"/>
        <v>85</v>
      </c>
      <c r="W28" s="175">
        <f t="shared" si="1"/>
        <v>42.5</v>
      </c>
      <c r="X28" s="175">
        <f t="shared" si="2"/>
        <v>106.25</v>
      </c>
      <c r="Y28" s="181">
        <f t="shared" si="3"/>
        <v>81.458333333333329</v>
      </c>
      <c r="Z28" s="207">
        <f t="shared" si="4"/>
        <v>40.729166666666664</v>
      </c>
      <c r="AA28" s="185">
        <v>46146</v>
      </c>
      <c r="AB28" s="185">
        <v>46163</v>
      </c>
      <c r="AC28" s="185">
        <v>46164</v>
      </c>
      <c r="AD28" s="185">
        <v>46171</v>
      </c>
      <c r="AE28" s="206">
        <f>IF($Z28="",0,IF($M28="",0,$M28))</f>
        <v>0</v>
      </c>
      <c r="AF28" s="206">
        <f>IF(OR($Z28="",$N28=""),0,$Z28*5%)</f>
        <v>0</v>
      </c>
      <c r="AG28" s="206">
        <f>IF(OR($Z28="",$O28=""),0,$Z28*10%)</f>
        <v>4.072916666666667</v>
      </c>
      <c r="AH28" s="206">
        <f>IF($Z28="",0,IF(AND($P28="",$Q28=""),($Z28-$AE28-$AF28-$AG28-$AJ28-$AK28-$AL28-$AM28),IF($P28="",0,IF($Q28="",($Z28-$AE28-$AF28-$AG28-$AJ28-$AK28-$AL28-$AM28),($Z28-$AE28-$AF28-$AG28-$AJ28-$AK28-$AL28-$AM28)-$AI28))))</f>
        <v>7.3157051282051295</v>
      </c>
      <c r="AI28" s="206">
        <f>IF($Z28="",0,IF(AND($P28="",$Q28=""),0,IF($Q28="",0,IF($P28="",($Z28-$AE28-$AF28-$AG28-$AJ28-$AK28-$AL28-$AM28),($Z28-$AE28-$AF28-$AG28-$AJ28-$AK28-$AL28-$AM28)*15%/(50%+15%)))))</f>
        <v>2.1947115384615388</v>
      </c>
      <c r="AJ28" s="206">
        <f>IF($Z28="",0,IF($R28="",0,$R28))</f>
        <v>0</v>
      </c>
      <c r="AK28" s="206">
        <f>IF(OR($Z28="",$S28=""),0,$Z28*10%)</f>
        <v>4.072916666666667</v>
      </c>
      <c r="AL28" s="206">
        <f>IF(OR($Z28="",$T28=""),0,$Z28*10%)</f>
        <v>4.072916666666667</v>
      </c>
      <c r="AM28" s="206">
        <f>IF($Z28="",0,IF($U28="",0,$U28))</f>
        <v>19</v>
      </c>
      <c r="AN28" s="59">
        <f>SUM(AE28:AM28)</f>
        <v>40.729166666666671</v>
      </c>
      <c r="AO28" t="s">
        <v>114</v>
      </c>
    </row>
    <row r="29" spans="1:41" ht="15">
      <c r="A29" s="1">
        <v>29</v>
      </c>
      <c r="B29" s="266"/>
      <c r="C29" s="277" t="s">
        <v>115</v>
      </c>
      <c r="D29" s="67" t="s">
        <v>116</v>
      </c>
      <c r="E29" s="67"/>
      <c r="F29" s="1" t="s">
        <v>63</v>
      </c>
      <c r="G29" s="1"/>
      <c r="H29" s="25">
        <v>2</v>
      </c>
      <c r="I29" s="25"/>
      <c r="J29" s="25"/>
      <c r="K29" s="25" t="s">
        <v>100</v>
      </c>
      <c r="L29" s="25" t="s">
        <v>67</v>
      </c>
      <c r="M29" s="25"/>
      <c r="N29" s="25"/>
      <c r="O29" s="25"/>
      <c r="P29" s="25"/>
      <c r="Q29" s="25"/>
      <c r="R29" s="25"/>
      <c r="S29" s="25"/>
      <c r="T29" s="25"/>
      <c r="U29" s="25"/>
      <c r="V29" s="48"/>
      <c r="W29" s="175">
        <f t="shared" si="1"/>
        <v>0</v>
      </c>
      <c r="X29" s="175">
        <f t="shared" si="2"/>
        <v>0</v>
      </c>
      <c r="Y29" s="181">
        <f t="shared" ref="Y29:Y36" si="8">(W29+(4*V29)+X29)/6</f>
        <v>0</v>
      </c>
      <c r="Z29" s="207">
        <f t="shared" si="4"/>
        <v>0</v>
      </c>
      <c r="AA29" s="185"/>
      <c r="AB29" s="185"/>
      <c r="AC29" s="185"/>
      <c r="AD29" s="185"/>
      <c r="AE29" s="206">
        <f>IF($Z29="",0,IF($M29="",0,$M29))</f>
        <v>0</v>
      </c>
      <c r="AF29" s="206">
        <f>IF(OR($Z29="",$N29=""),0,$Z29*5%)</f>
        <v>0</v>
      </c>
      <c r="AG29" s="206">
        <f>IF(OR($Z29="",$O29=""),0,$Z29*10%)</f>
        <v>0</v>
      </c>
      <c r="AH29" s="206">
        <f>IF($Z29="",0,IF(AND($P29="",$Q29=""),($Z29-$AE29-$AF29-$AG29-$AJ29-$AK29-$AL29-$AM29),IF($P29="",0,IF($Q29="",($Z29-$AE29-$AF29-$AG29-$AJ29-$AK29-$AL29-$AM29),($Z29-$AE29-$AF29-$AG29-$AJ29-$AK29-$AL29-$AM29)-$AI29))))</f>
        <v>0</v>
      </c>
      <c r="AI29" s="206">
        <f>IF($Z29="",0,IF(AND($P29="",$Q29=""),0,IF($Q29="",0,IF($P29="",($Z29-$AE29-$AF29-$AG29-$AJ29-$AK29-$AL29-$AM29),($Z29-$AE29-$AF29-$AG29-$AJ29-$AK29-$AL29-$AM29)*15%/(50%+15%)))))</f>
        <v>0</v>
      </c>
      <c r="AJ29" s="206">
        <f>IF($Z29="",0,IF($R29="",0,$R29))</f>
        <v>0</v>
      </c>
      <c r="AK29" s="206">
        <f>IF(OR($Z29="",$S29=""),0,$Z29*10%)</f>
        <v>0</v>
      </c>
      <c r="AL29" s="206">
        <f>IF(OR($Z29="",$T29=""),0,$Z29*10%)</f>
        <v>0</v>
      </c>
      <c r="AM29" s="206">
        <f>IF($Z29="",0,IF($U29="",0,$U29))</f>
        <v>0</v>
      </c>
      <c r="AN29" s="59">
        <f>SUM(AE29:AM29)</f>
        <v>0</v>
      </c>
    </row>
    <row r="30" spans="1:41" ht="15">
      <c r="A30" s="1">
        <v>30</v>
      </c>
      <c r="B30" s="266"/>
      <c r="C30" s="278"/>
      <c r="D30" s="67" t="s">
        <v>117</v>
      </c>
      <c r="E30" s="67"/>
      <c r="F30" s="1" t="s">
        <v>63</v>
      </c>
      <c r="G30" s="1"/>
      <c r="H30" s="25"/>
      <c r="I30" s="25"/>
      <c r="J30" s="25"/>
      <c r="K30" s="25"/>
      <c r="L30" s="25" t="s">
        <v>67</v>
      </c>
      <c r="M30" s="25"/>
      <c r="N30" s="25"/>
      <c r="O30" s="25"/>
      <c r="P30" s="25"/>
      <c r="Q30" s="25"/>
      <c r="R30" s="25"/>
      <c r="S30" s="25"/>
      <c r="T30" s="25"/>
      <c r="U30" s="25"/>
      <c r="V30" s="48">
        <f t="shared" si="0"/>
        <v>0</v>
      </c>
      <c r="W30" s="175">
        <f t="shared" si="1"/>
        <v>0</v>
      </c>
      <c r="X30" s="175">
        <f t="shared" si="2"/>
        <v>0</v>
      </c>
      <c r="Y30" s="181">
        <f t="shared" si="8"/>
        <v>0</v>
      </c>
      <c r="Z30" s="207">
        <f t="shared" si="4"/>
        <v>0</v>
      </c>
      <c r="AA30" s="185"/>
      <c r="AB30" s="185"/>
      <c r="AC30" s="185"/>
      <c r="AD30" s="185"/>
      <c r="AE30" s="206">
        <f>IF($Z30="",0,IF($M30="",0,$M30))</f>
        <v>0</v>
      </c>
      <c r="AF30" s="206">
        <f>IF(OR($Z30="",$N30=""),0,$Z30*5%)</f>
        <v>0</v>
      </c>
      <c r="AG30" s="206">
        <f>IF(OR($Z30="",$O30=""),0,$Z30*10%)</f>
        <v>0</v>
      </c>
      <c r="AH30" s="206">
        <f>IF($Z30="",0,IF(AND($P30="",$Q30=""),($Z30-$AE30-$AF30-$AG30-$AJ30-$AK30-$AL30-$AM30),IF($P30="",0,IF($Q30="",($Z30-$AE30-$AF30-$AG30-$AJ30-$AK30-$AL30-$AM30),($Z30-$AE30-$AF30-$AG30-$AJ30-$AK30-$AL30-$AM30)-$AI30))))</f>
        <v>0</v>
      </c>
      <c r="AI30" s="206">
        <f>IF($Z30="",0,IF(AND($P30="",$Q30=""),0,IF($Q30="",0,IF($P30="",($Z30-$AE30-$AF30-$AG30-$AJ30-$AK30-$AL30-$AM30),($Z30-$AE30-$AF30-$AG30-$AJ30-$AK30-$AL30-$AM30)*15%/(50%+15%)))))</f>
        <v>0</v>
      </c>
      <c r="AJ30" s="206">
        <f>IF($Z30="",0,IF($R30="",0,$R30))</f>
        <v>0</v>
      </c>
      <c r="AK30" s="206">
        <f>IF(OR($Z30="",$S30=""),0,$Z30*10%)</f>
        <v>0</v>
      </c>
      <c r="AL30" s="206">
        <f>IF(OR($Z30="",$T30=""),0,$Z30*10%)</f>
        <v>0</v>
      </c>
      <c r="AM30" s="206">
        <f>IF($Z30="",0,IF($U30="",0,$U30))</f>
        <v>0</v>
      </c>
      <c r="AN30" s="59">
        <f>SUM(AE30:AM30)</f>
        <v>0</v>
      </c>
    </row>
    <row r="31" spans="1:41" ht="60.75">
      <c r="A31" s="1">
        <v>31</v>
      </c>
      <c r="B31" s="266"/>
      <c r="C31" s="279" t="s">
        <v>118</v>
      </c>
      <c r="D31" s="53" t="s">
        <v>119</v>
      </c>
      <c r="E31" s="261" t="s">
        <v>120</v>
      </c>
      <c r="F31" s="1" t="s">
        <v>63</v>
      </c>
      <c r="G31" s="1"/>
      <c r="H31" s="25">
        <v>1</v>
      </c>
      <c r="I31" s="25"/>
      <c r="J31" s="25"/>
      <c r="K31" s="25">
        <v>3</v>
      </c>
      <c r="L31" s="25" t="s">
        <v>67</v>
      </c>
      <c r="M31" s="25"/>
      <c r="N31" s="25"/>
      <c r="O31" s="25">
        <v>3</v>
      </c>
      <c r="P31" s="25">
        <f>(21+3)</f>
        <v>24</v>
      </c>
      <c r="Q31" s="25">
        <v>5</v>
      </c>
      <c r="R31" s="25"/>
      <c r="S31" s="25">
        <v>1</v>
      </c>
      <c r="T31" s="25">
        <v>5</v>
      </c>
      <c r="U31" s="25"/>
      <c r="V31" s="48">
        <f t="shared" si="0"/>
        <v>38</v>
      </c>
      <c r="W31" s="175">
        <f t="shared" si="1"/>
        <v>19</v>
      </c>
      <c r="X31" s="175">
        <f t="shared" si="2"/>
        <v>47.5</v>
      </c>
      <c r="Y31" s="181">
        <f t="shared" si="8"/>
        <v>36.416666666666664</v>
      </c>
      <c r="Z31" s="207">
        <f t="shared" si="4"/>
        <v>18.208333333333332</v>
      </c>
      <c r="AA31" s="185">
        <v>46121</v>
      </c>
      <c r="AB31" s="185">
        <v>46134</v>
      </c>
      <c r="AC31" s="185">
        <v>46135</v>
      </c>
      <c r="AD31" s="229">
        <v>46142</v>
      </c>
      <c r="AE31" s="206">
        <f>IF($Z31="",0,IF($M31="",0,$M31))</f>
        <v>0</v>
      </c>
      <c r="AF31" s="206">
        <f>IF(OR($Z31="",$N31=""),0,$Z31*5%)</f>
        <v>0</v>
      </c>
      <c r="AG31" s="206">
        <f>IF(OR($Z31="",$O31=""),0,$Z31*10%)</f>
        <v>1.8208333333333333</v>
      </c>
      <c r="AH31" s="206">
        <f>IF($Z31="",0,IF(AND($P31="",$Q31=""),($Z31-$AE31-$AF31-$AG31-$AJ31-$AK31-$AL31-$AM31),IF($P31="",0,IF($Q31="",($Z31-$AE31-$AF31-$AG31-$AJ31-$AK31-$AL31-$AM31),($Z31-$AE31-$AF31-$AG31-$AJ31-$AK31-$AL31-$AM31)-$AI31))))</f>
        <v>9.8044871794871788</v>
      </c>
      <c r="AI31" s="206">
        <f>IF($Z31="",0,IF(AND($P31="",$Q31=""),0,IF($Q31="",0,IF($P31="",($Z31-$AE31-$AF31-$AG31-$AJ31-$AK31-$AL31-$AM31),($Z31-$AE31-$AF31-$AG31-$AJ31-$AK31-$AL31-$AM31)*15%/(50%+15%)))))</f>
        <v>2.9413461538461538</v>
      </c>
      <c r="AJ31" s="206">
        <f>IF($Z31="",0,IF($R31="",0,$R31))</f>
        <v>0</v>
      </c>
      <c r="AK31" s="206">
        <f>IF(OR($Z31="",$S31=""),0,$Z31*10%)</f>
        <v>1.8208333333333333</v>
      </c>
      <c r="AL31" s="206">
        <f>IF(OR($Z31="",$T31=""),0,$Z31*10%)</f>
        <v>1.8208333333333333</v>
      </c>
      <c r="AM31" s="206">
        <f>IF($Z31="",0,IF($U31="",0,$U31))</f>
        <v>0</v>
      </c>
      <c r="AN31" s="59">
        <f>SUM(AE31:AM31)</f>
        <v>18.208333333333332</v>
      </c>
    </row>
    <row r="32" spans="1:41" ht="60.75">
      <c r="A32" s="1"/>
      <c r="B32" s="266"/>
      <c r="C32" s="280"/>
      <c r="D32" s="53" t="s">
        <v>121</v>
      </c>
      <c r="E32" s="261" t="s">
        <v>122</v>
      </c>
      <c r="F32" s="1" t="s">
        <v>63</v>
      </c>
      <c r="G32" s="1"/>
      <c r="H32" s="25">
        <v>1</v>
      </c>
      <c r="I32" s="25"/>
      <c r="J32" s="25"/>
      <c r="K32" s="25">
        <v>3</v>
      </c>
      <c r="L32" s="25" t="s">
        <v>67</v>
      </c>
      <c r="M32" s="25"/>
      <c r="N32" s="25"/>
      <c r="O32" s="25">
        <v>6</v>
      </c>
      <c r="P32" s="25">
        <f>(21+6)</f>
        <v>27</v>
      </c>
      <c r="Q32" s="25">
        <v>5</v>
      </c>
      <c r="R32" s="25"/>
      <c r="S32" s="25">
        <v>1</v>
      </c>
      <c r="T32" s="25">
        <v>5</v>
      </c>
      <c r="U32" s="25"/>
      <c r="V32" s="48">
        <f>SUM(M32:U32)</f>
        <v>44</v>
      </c>
      <c r="W32" s="175">
        <f>V32 - (V32 * (SUBSTITUTE(SUBSTITUTE($W$2, "Optimistic (", ""), "%)", "") / 100))</f>
        <v>22</v>
      </c>
      <c r="X32" s="175">
        <f>V32 + (W32 * (SUBSTITUTE(SUBSTITUTE($W$2, "Optimistic (", ""), "%)", "") / 100))</f>
        <v>55</v>
      </c>
      <c r="Y32" s="181">
        <f>(W32+(4*V32)+X32)/6</f>
        <v>42.166666666666664</v>
      </c>
      <c r="Z32" s="207">
        <f t="shared" si="4"/>
        <v>21.083333333333332</v>
      </c>
      <c r="AA32" s="185">
        <v>46146</v>
      </c>
      <c r="AB32" s="185">
        <v>46167</v>
      </c>
      <c r="AC32" s="185">
        <v>46168</v>
      </c>
      <c r="AD32" s="185">
        <v>46175</v>
      </c>
      <c r="AE32" s="206">
        <f>IF($Z32="",0,IF($M32="",0,$M32))</f>
        <v>0</v>
      </c>
      <c r="AF32" s="206">
        <f>IF(OR($Z32="",$N32=""),0,$Z32*5%)</f>
        <v>0</v>
      </c>
      <c r="AG32" s="206">
        <f>IF(OR($Z32="",$O32=""),0,$Z32*10%)</f>
        <v>2.1083333333333334</v>
      </c>
      <c r="AH32" s="206">
        <f>IF($Z32="",0,IF(AND($P32="",$Q32=""),($Z32-$AE32-$AF32-$AG32-$AJ32-$AK32-$AL32-$AM32),IF($P32="",0,IF($Q32="",($Z32-$AE32-$AF32-$AG32-$AJ32-$AK32-$AL32-$AM32),($Z32-$AE32-$AF32-$AG32-$AJ32-$AK32-$AL32-$AM32)-$AI32))))</f>
        <v>11.3525641025641</v>
      </c>
      <c r="AI32" s="206">
        <f>IF($Z32="",0,IF(AND($P32="",$Q32=""),0,IF($Q32="",0,IF($P32="",($Z32-$AE32-$AF32-$AG32-$AJ32-$AK32-$AL32-$AM32),($Z32-$AE32-$AF32-$AG32-$AJ32-$AK32-$AL32-$AM32)*15%/(50%+15%)))))</f>
        <v>3.4057692307692293</v>
      </c>
      <c r="AJ32" s="206">
        <f>IF($Z32="",0,IF($R32="",0,$R32))</f>
        <v>0</v>
      </c>
      <c r="AK32" s="206">
        <f>IF(OR($Z32="",$S32=""),0,$Z32*10%)</f>
        <v>2.1083333333333334</v>
      </c>
      <c r="AL32" s="206">
        <f>IF(OR($Z32="",$T32=""),0,$Z32*10%)</f>
        <v>2.1083333333333334</v>
      </c>
      <c r="AM32" s="206">
        <f>IF($Z32="",0,IF($U32="",0,$U32))</f>
        <v>0</v>
      </c>
      <c r="AN32" s="59">
        <f>SUM(AE32:AM32)</f>
        <v>21.083333333333332</v>
      </c>
    </row>
    <row r="33" spans="1:41" ht="15">
      <c r="A33" s="1">
        <v>32</v>
      </c>
      <c r="B33" s="266"/>
      <c r="C33" s="280"/>
      <c r="D33" s="53" t="s">
        <v>123</v>
      </c>
      <c r="E33" s="238" t="s">
        <v>124</v>
      </c>
      <c r="F33" s="1" t="s">
        <v>63</v>
      </c>
      <c r="G33" s="1"/>
      <c r="H33" s="25"/>
      <c r="I33" s="25"/>
      <c r="J33" s="25"/>
      <c r="K33" s="25"/>
      <c r="L33" s="25" t="s">
        <v>67</v>
      </c>
      <c r="M33" s="25"/>
      <c r="N33" s="25"/>
      <c r="O33" s="25">
        <v>3</v>
      </c>
      <c r="P33" s="25">
        <f>(12+3)</f>
        <v>15</v>
      </c>
      <c r="Q33" s="25">
        <v>5</v>
      </c>
      <c r="R33" s="25"/>
      <c r="S33" s="25"/>
      <c r="T33" s="25">
        <v>5</v>
      </c>
      <c r="U33" s="25"/>
      <c r="V33" s="48">
        <f t="shared" si="0"/>
        <v>28</v>
      </c>
      <c r="W33" s="175">
        <f t="shared" si="1"/>
        <v>14</v>
      </c>
      <c r="X33" s="175">
        <f t="shared" si="2"/>
        <v>35</v>
      </c>
      <c r="Y33" s="181">
        <f t="shared" si="8"/>
        <v>26.833333333333332</v>
      </c>
      <c r="Z33" s="207">
        <f t="shared" si="4"/>
        <v>13.416666666666666</v>
      </c>
      <c r="AA33" s="185">
        <v>46169</v>
      </c>
      <c r="AB33" s="185">
        <v>46178</v>
      </c>
      <c r="AC33" s="185">
        <v>46181</v>
      </c>
      <c r="AD33" s="185">
        <v>46188</v>
      </c>
      <c r="AE33" s="206">
        <f>IF($Z33="",0,IF($M33="",0,$M33))</f>
        <v>0</v>
      </c>
      <c r="AF33" s="206">
        <f>IF(OR($Z33="",$N33=""),0,$Z33*5%)</f>
        <v>0</v>
      </c>
      <c r="AG33" s="206">
        <f>IF(OR($Z33="",$O33=""),0,$Z33*10%)</f>
        <v>1.3416666666666668</v>
      </c>
      <c r="AH33" s="206">
        <f>IF($Z33="",0,IF(AND($P33="",$Q33=""),($Z33-$AE33-$AF33-$AG33-$AJ33-$AK33-$AL33-$AM33),IF($P33="",0,IF($Q33="",($Z33-$AE33-$AF33-$AG33-$AJ33-$AK33-$AL33-$AM33),($Z33-$AE33-$AF33-$AG33-$AJ33-$AK33-$AL33-$AM33)-$AI33))))</f>
        <v>8.2564102564102555</v>
      </c>
      <c r="AI33" s="206">
        <f>IF($Z33="",0,IF(AND($P33="",$Q33=""),0,IF($Q33="",0,IF($P33="",($Z33-$AE33-$AF33-$AG33-$AJ33-$AK33-$AL33-$AM33),($Z33-$AE33-$AF33-$AG33-$AJ33-$AK33-$AL33-$AM33)*15%/(50%+15%)))))</f>
        <v>2.4769230769230766</v>
      </c>
      <c r="AJ33" s="206">
        <f>IF($Z33="",0,IF($R33="",0,$R33))</f>
        <v>0</v>
      </c>
      <c r="AK33" s="206">
        <f>IF(OR($Z33="",$S33=""),0,$Z33*10%)</f>
        <v>0</v>
      </c>
      <c r="AL33" s="206">
        <f>IF(OR($Z33="",$T33=""),0,$Z33*10%)</f>
        <v>1.3416666666666668</v>
      </c>
      <c r="AM33" s="206">
        <f>IF($Z33="",0,IF($U33="",0,$U33))</f>
        <v>0</v>
      </c>
      <c r="AN33" s="59">
        <f>SUM(AE33:AM33)</f>
        <v>13.416666666666666</v>
      </c>
    </row>
    <row r="34" spans="1:41" ht="15">
      <c r="A34" s="1">
        <v>33</v>
      </c>
      <c r="B34" s="266"/>
      <c r="C34" s="280"/>
      <c r="D34" s="53" t="s">
        <v>125</v>
      </c>
      <c r="E34" s="238" t="s">
        <v>126</v>
      </c>
      <c r="F34" s="1" t="s">
        <v>63</v>
      </c>
      <c r="G34" s="1"/>
      <c r="H34" s="25"/>
      <c r="I34" s="25"/>
      <c r="J34" s="25"/>
      <c r="K34" s="25"/>
      <c r="L34" s="25"/>
      <c r="M34" s="25"/>
      <c r="N34" s="25"/>
      <c r="O34" s="25">
        <v>3</v>
      </c>
      <c r="P34" s="25">
        <f>(12+3)</f>
        <v>15</v>
      </c>
      <c r="Q34" s="25">
        <v>5</v>
      </c>
      <c r="R34" s="25"/>
      <c r="S34" s="25"/>
      <c r="T34" s="25">
        <v>5</v>
      </c>
      <c r="U34" s="25"/>
      <c r="V34" s="48">
        <f t="shared" si="0"/>
        <v>28</v>
      </c>
      <c r="W34" s="175">
        <f t="shared" si="1"/>
        <v>14</v>
      </c>
      <c r="X34" s="175">
        <f t="shared" si="2"/>
        <v>35</v>
      </c>
      <c r="Y34" s="181">
        <f t="shared" si="8"/>
        <v>26.833333333333332</v>
      </c>
      <c r="Z34" s="207">
        <f t="shared" si="4"/>
        <v>13.416666666666666</v>
      </c>
      <c r="AA34" s="185">
        <v>46182</v>
      </c>
      <c r="AB34" s="185">
        <v>46191</v>
      </c>
      <c r="AC34" s="185">
        <v>46192</v>
      </c>
      <c r="AD34" s="185">
        <v>46199</v>
      </c>
      <c r="AE34" s="206">
        <f>IF($Z34="",0,IF($M34="",0,$M34))</f>
        <v>0</v>
      </c>
      <c r="AF34" s="206">
        <f>IF(OR($Z34="",$N34=""),0,$Z34*5%)</f>
        <v>0</v>
      </c>
      <c r="AG34" s="206">
        <f>IF(OR($Z34="",$O34=""),0,$Z34*10%)</f>
        <v>1.3416666666666668</v>
      </c>
      <c r="AH34" s="206">
        <f>IF($Z34="",0,IF(AND($P34="",$Q34=""),($Z34-$AE34-$AF34-$AG34-$AJ34-$AK34-$AL34-$AM34),IF($P34="",0,IF($Q34="",($Z34-$AE34-$AF34-$AG34-$AJ34-$AK34-$AL34-$AM34),($Z34-$AE34-$AF34-$AG34-$AJ34-$AK34-$AL34-$AM34)-$AI34))))</f>
        <v>8.2564102564102555</v>
      </c>
      <c r="AI34" s="206">
        <f>IF($Z34="",0,IF(AND($P34="",$Q34=""),0,IF($Q34="",0,IF($P34="",($Z34-$AE34-$AF34-$AG34-$AJ34-$AK34-$AL34-$AM34),($Z34-$AE34-$AF34-$AG34-$AJ34-$AK34-$AL34-$AM34)*15%/(50%+15%)))))</f>
        <v>2.4769230769230766</v>
      </c>
      <c r="AJ34" s="206">
        <f>IF($Z34="",0,IF($R34="",0,$R34))</f>
        <v>0</v>
      </c>
      <c r="AK34" s="206">
        <f>IF(OR($Z34="",$S34=""),0,$Z34*10%)</f>
        <v>0</v>
      </c>
      <c r="AL34" s="206">
        <f>IF(OR($Z34="",$T34=""),0,$Z34*10%)</f>
        <v>1.3416666666666668</v>
      </c>
      <c r="AM34" s="206">
        <f>IF($Z34="",0,IF($U34="",0,$U34))</f>
        <v>0</v>
      </c>
      <c r="AN34" s="59">
        <f>SUM(AE34:AM34)</f>
        <v>13.416666666666666</v>
      </c>
    </row>
    <row r="35" spans="1:41" ht="15">
      <c r="A35" s="1">
        <v>34</v>
      </c>
      <c r="B35" s="266"/>
      <c r="C35" s="281"/>
      <c r="D35" s="53" t="s">
        <v>127</v>
      </c>
      <c r="E35" s="238" t="s">
        <v>128</v>
      </c>
      <c r="F35" s="1" t="s">
        <v>63</v>
      </c>
      <c r="G35" s="1"/>
      <c r="H35" s="25"/>
      <c r="I35" s="25"/>
      <c r="J35" s="25"/>
      <c r="K35" s="25"/>
      <c r="L35" s="25"/>
      <c r="M35" s="25"/>
      <c r="N35" s="25"/>
      <c r="O35" s="25">
        <v>3</v>
      </c>
      <c r="P35" s="25">
        <f>(12+3)</f>
        <v>15</v>
      </c>
      <c r="Q35" s="25">
        <v>5</v>
      </c>
      <c r="R35" s="25"/>
      <c r="S35" s="25"/>
      <c r="T35" s="25">
        <v>5</v>
      </c>
      <c r="U35" s="25"/>
      <c r="V35" s="48">
        <f t="shared" si="0"/>
        <v>28</v>
      </c>
      <c r="W35" s="175">
        <f t="shared" si="1"/>
        <v>14</v>
      </c>
      <c r="X35" s="175">
        <f t="shared" si="2"/>
        <v>35</v>
      </c>
      <c r="Y35" s="181">
        <f t="shared" si="8"/>
        <v>26.833333333333332</v>
      </c>
      <c r="Z35" s="207">
        <f t="shared" si="4"/>
        <v>13.416666666666666</v>
      </c>
      <c r="AA35" s="185">
        <v>46195</v>
      </c>
      <c r="AB35" s="185">
        <v>46204</v>
      </c>
      <c r="AC35" s="185">
        <v>46205</v>
      </c>
      <c r="AD35" s="185">
        <v>46212</v>
      </c>
      <c r="AE35" s="206">
        <f>IF($Z35="",0,IF($M35="",0,$M35))</f>
        <v>0</v>
      </c>
      <c r="AF35" s="206">
        <f>IF(OR($Z35="",$N35=""),0,$Z35*5%)</f>
        <v>0</v>
      </c>
      <c r="AG35" s="206">
        <f>IF(OR($Z35="",$O35=""),0,$Z35*10%)</f>
        <v>1.3416666666666668</v>
      </c>
      <c r="AH35" s="206">
        <f>IF($Z35="",0,IF(AND($P35="",$Q35=""),($Z35-$AE35-$AF35-$AG35-$AJ35-$AK35-$AL35-$AM35),IF($P35="",0,IF($Q35="",($Z35-$AE35-$AF35-$AG35-$AJ35-$AK35-$AL35-$AM35),($Z35-$AE35-$AF35-$AG35-$AJ35-$AK35-$AL35-$AM35)-$AI35))))</f>
        <v>8.2564102564102555</v>
      </c>
      <c r="AI35" s="206">
        <f>IF($Z35="",0,IF(AND($P35="",$Q35=""),0,IF($Q35="",0,IF($P35="",($Z35-$AE35-$AF35-$AG35-$AJ35-$AK35-$AL35-$AM35),($Z35-$AE35-$AF35-$AG35-$AJ35-$AK35-$AL35-$AM35)*15%/(50%+15%)))))</f>
        <v>2.4769230769230766</v>
      </c>
      <c r="AJ35" s="206">
        <f>IF($Z35="",0,IF($R35="",0,$R35))</f>
        <v>0</v>
      </c>
      <c r="AK35" s="206">
        <f>IF(OR($Z35="",$S35=""),0,$Z35*10%)</f>
        <v>0</v>
      </c>
      <c r="AL35" s="206">
        <f>IF(OR($Z35="",$T35=""),0,$Z35*10%)</f>
        <v>1.3416666666666668</v>
      </c>
      <c r="AM35" s="206">
        <f>IF($Z35="",0,IF($U35="",0,$U35))</f>
        <v>0</v>
      </c>
      <c r="AN35" s="59">
        <f>SUM(AE35:AM35)</f>
        <v>13.416666666666666</v>
      </c>
    </row>
    <row r="36" spans="1:41" ht="15">
      <c r="A36" s="1">
        <v>35</v>
      </c>
      <c r="B36" s="266"/>
      <c r="C36" s="72"/>
      <c r="D36" s="53" t="s">
        <v>129</v>
      </c>
      <c r="E36" s="238" t="s">
        <v>130</v>
      </c>
      <c r="F36" s="1" t="s">
        <v>63</v>
      </c>
      <c r="G36" s="1"/>
      <c r="H36" s="25"/>
      <c r="I36" s="25"/>
      <c r="J36" s="25"/>
      <c r="K36" s="25"/>
      <c r="L36" s="25"/>
      <c r="M36" s="25"/>
      <c r="N36" s="25"/>
      <c r="O36" s="25">
        <v>3</v>
      </c>
      <c r="P36" s="25">
        <f>(12+3)</f>
        <v>15</v>
      </c>
      <c r="Q36" s="25">
        <v>5</v>
      </c>
      <c r="R36" s="25"/>
      <c r="S36" s="25"/>
      <c r="T36" s="25">
        <v>5</v>
      </c>
      <c r="U36" s="25"/>
      <c r="V36" s="48">
        <f t="shared" si="0"/>
        <v>28</v>
      </c>
      <c r="W36" s="175">
        <f t="shared" si="1"/>
        <v>14</v>
      </c>
      <c r="X36" s="175">
        <f t="shared" si="2"/>
        <v>35</v>
      </c>
      <c r="Y36" s="181">
        <f t="shared" si="8"/>
        <v>26.833333333333332</v>
      </c>
      <c r="Z36" s="207">
        <f t="shared" si="4"/>
        <v>13.416666666666666</v>
      </c>
      <c r="AA36" s="185">
        <v>46206</v>
      </c>
      <c r="AB36" s="185">
        <v>46217</v>
      </c>
      <c r="AC36" s="185">
        <v>46218</v>
      </c>
      <c r="AD36" s="185">
        <v>46225</v>
      </c>
      <c r="AE36" s="206">
        <f>IF($Z36="",0,IF($M36="",0,$M36))</f>
        <v>0</v>
      </c>
      <c r="AF36" s="206">
        <f>IF(OR($Z36="",$N36=""),0,$Z36*5%)</f>
        <v>0</v>
      </c>
      <c r="AG36" s="206">
        <f>IF(OR($Z36="",$O36=""),0,$Z36*10%)</f>
        <v>1.3416666666666668</v>
      </c>
      <c r="AH36" s="206">
        <f>IF($Z36="",0,IF(AND($P36="",$Q36=""),($Z36-$AE36-$AF36-$AG36-$AJ36-$AK36-$AL36-$AM36),IF($P36="",0,IF($Q36="",($Z36-$AE36-$AF36-$AG36-$AJ36-$AK36-$AL36-$AM36),($Z36-$AE36-$AF36-$AG36-$AJ36-$AK36-$AL36-$AM36)-$AI36))))</f>
        <v>8.2564102564102555</v>
      </c>
      <c r="AI36" s="206">
        <f>IF($Z36="",0,IF(AND($P36="",$Q36=""),0,IF($Q36="",0,IF($P36="",($Z36-$AE36-$AF36-$AG36-$AJ36-$AK36-$AL36-$AM36),($Z36-$AE36-$AF36-$AG36-$AJ36-$AK36-$AL36-$AM36)*15%/(50%+15%)))))</f>
        <v>2.4769230769230766</v>
      </c>
      <c r="AJ36" s="206">
        <f>IF($Z36="",0,IF($R36="",0,$R36))</f>
        <v>0</v>
      </c>
      <c r="AK36" s="206">
        <f>IF(OR($Z36="",$S36=""),0,$Z36*10%)</f>
        <v>0</v>
      </c>
      <c r="AL36" s="206">
        <f>IF(OR($Z36="",$T36=""),0,$Z36*10%)</f>
        <v>1.3416666666666668</v>
      </c>
      <c r="AM36" s="206">
        <f>IF($Z36="",0,IF($U36="",0,$U36))</f>
        <v>0</v>
      </c>
      <c r="AN36" s="59">
        <f>SUM(AE36:AM36)</f>
        <v>13.416666666666666</v>
      </c>
    </row>
    <row r="37" spans="1:41" ht="15">
      <c r="A37" s="1">
        <v>36</v>
      </c>
      <c r="B37" s="266"/>
      <c r="C37" s="34" t="s">
        <v>131</v>
      </c>
      <c r="D37" s="53" t="s">
        <v>132</v>
      </c>
      <c r="E37" s="53"/>
      <c r="F37" s="1" t="s">
        <v>63</v>
      </c>
      <c r="G37" s="1"/>
      <c r="H37" s="25">
        <v>1</v>
      </c>
      <c r="I37" s="25"/>
      <c r="J37" s="25"/>
      <c r="K37" s="25"/>
      <c r="L37" s="25" t="s">
        <v>67</v>
      </c>
      <c r="M37" s="25"/>
      <c r="N37" s="25"/>
      <c r="O37" s="25"/>
      <c r="P37" s="25">
        <v>4</v>
      </c>
      <c r="Q37" s="25">
        <v>3</v>
      </c>
      <c r="R37" s="25"/>
      <c r="S37" s="25">
        <v>1</v>
      </c>
      <c r="T37" s="25"/>
      <c r="U37" s="25"/>
      <c r="V37" s="48">
        <f t="shared" si="0"/>
        <v>8</v>
      </c>
      <c r="W37" s="175">
        <f t="shared" si="1"/>
        <v>4</v>
      </c>
      <c r="X37" s="175">
        <f t="shared" si="2"/>
        <v>10</v>
      </c>
      <c r="Y37" s="181">
        <f t="shared" si="3"/>
        <v>7.666666666666667</v>
      </c>
      <c r="Z37" s="207">
        <f t="shared" si="4"/>
        <v>3.8333333333333335</v>
      </c>
      <c r="AA37" s="185"/>
      <c r="AB37" s="185"/>
      <c r="AC37" s="185"/>
      <c r="AD37" s="185"/>
      <c r="AE37" s="206">
        <f>IF($Z37="",0,IF($M37="",0,$M37))</f>
        <v>0</v>
      </c>
      <c r="AF37" s="206">
        <f>IF(OR($Z37="",$N37=""),0,$Z37*5%)</f>
        <v>0</v>
      </c>
      <c r="AG37" s="206">
        <f>IF(OR($Z37="",$O37=""),0,$Z37*10%)</f>
        <v>0</v>
      </c>
      <c r="AH37" s="206">
        <f>IF($Z37="",0,IF(AND($P37="",$Q37=""),($Z37-$AE37-$AF37-$AG37-$AJ37-$AK37-$AL37-$AM37),IF($P37="",0,IF($Q37="",($Z37-$AE37-$AF37-$AG37-$AJ37-$AK37-$AL37-$AM37),($Z37-$AE37-$AF37-$AG37-$AJ37-$AK37-$AL37-$AM37)-$AI37))))</f>
        <v>2.6538461538461542</v>
      </c>
      <c r="AI37" s="206">
        <f>IF($Z37="",0,IF(AND($P37="",$Q37=""),0,IF($Q37="",0,IF($P37="",($Z37-$AE37-$AF37-$AG37-$AJ37-$AK37-$AL37-$AM37),($Z37-$AE37-$AF37-$AG37-$AJ37-$AK37-$AL37-$AM37)*15%/(50%+15%)))))</f>
        <v>0.7961538461538461</v>
      </c>
      <c r="AJ37" s="206">
        <f>IF($Z37="",0,IF($R37="",0,$R37))</f>
        <v>0</v>
      </c>
      <c r="AK37" s="206">
        <f>IF(OR($Z37="",$S37=""),0,$Z37*10%)</f>
        <v>0.38333333333333336</v>
      </c>
      <c r="AL37" s="206">
        <f>IF(OR($Z37="",$T37=""),0,$Z37*10%)</f>
        <v>0</v>
      </c>
      <c r="AM37" s="206">
        <f>IF($Z37="",0,IF($U37="",0,$U37))</f>
        <v>0</v>
      </c>
      <c r="AN37" s="59">
        <f>SUM(AE37:AM37)</f>
        <v>3.8333333333333335</v>
      </c>
    </row>
    <row r="38" spans="1:41" ht="30.75">
      <c r="A38" s="1">
        <v>37</v>
      </c>
      <c r="B38" s="266"/>
      <c r="C38" s="269" t="s">
        <v>133</v>
      </c>
      <c r="D38" s="53" t="s">
        <v>134</v>
      </c>
      <c r="E38" s="53"/>
      <c r="F38" s="1" t="s">
        <v>70</v>
      </c>
      <c r="G38" s="1"/>
      <c r="H38" s="25">
        <v>3</v>
      </c>
      <c r="I38" s="25"/>
      <c r="J38" s="25"/>
      <c r="K38" s="25">
        <v>1</v>
      </c>
      <c r="L38" s="25" t="s">
        <v>67</v>
      </c>
      <c r="M38" s="25"/>
      <c r="N38" s="25"/>
      <c r="O38" s="25"/>
      <c r="P38" s="25"/>
      <c r="Q38" s="25"/>
      <c r="R38" s="25"/>
      <c r="S38" s="25"/>
      <c r="T38" s="25"/>
      <c r="U38" s="25"/>
      <c r="V38" s="48">
        <f t="shared" si="0"/>
        <v>0</v>
      </c>
      <c r="W38" s="175">
        <f t="shared" si="1"/>
        <v>0</v>
      </c>
      <c r="X38" s="175">
        <f t="shared" si="2"/>
        <v>0</v>
      </c>
      <c r="Y38" s="181">
        <f t="shared" si="3"/>
        <v>0</v>
      </c>
      <c r="Z38" s="207">
        <f t="shared" si="4"/>
        <v>0</v>
      </c>
      <c r="AA38" s="185"/>
      <c r="AB38" s="185"/>
      <c r="AC38" s="185"/>
      <c r="AD38" s="185"/>
      <c r="AE38" s="206">
        <f>IF($Z38="",0,IF($M38="",0,$M38))</f>
        <v>0</v>
      </c>
      <c r="AF38" s="206">
        <f>IF(OR($Z38="",$N38=""),0,$Z38*5%)</f>
        <v>0</v>
      </c>
      <c r="AG38" s="206">
        <f>IF(OR($Z38="",$O38=""),0,$Z38*10%)</f>
        <v>0</v>
      </c>
      <c r="AH38" s="206">
        <f>IF($Z38="",0,IF(AND($P38="",$Q38=""),($Z38-$AE38-$AF38-$AG38-$AJ38-$AK38-$AL38-$AM38),IF($P38="",0,IF($Q38="",($Z38-$AE38-$AF38-$AG38-$AJ38-$AK38-$AL38-$AM38),($Z38-$AE38-$AF38-$AG38-$AJ38-$AK38-$AL38-$AM38)-$AI38))))</f>
        <v>0</v>
      </c>
      <c r="AI38" s="206">
        <f>IF($Z38="",0,IF(AND($P38="",$Q38=""),0,IF($Q38="",0,IF($P38="",($Z38-$AE38-$AF38-$AG38-$AJ38-$AK38-$AL38-$AM38),($Z38-$AE38-$AF38-$AG38-$AJ38-$AK38-$AL38-$AM38)*15%/(50%+15%)))))</f>
        <v>0</v>
      </c>
      <c r="AJ38" s="206">
        <f>IF($Z38="",0,IF($R38="",0,$R38))</f>
        <v>0</v>
      </c>
      <c r="AK38" s="206">
        <f>IF(OR($Z38="",$S38=""),0,$Z38*10%)</f>
        <v>0</v>
      </c>
      <c r="AL38" s="206">
        <f>IF(OR($Z38="",$T38=""),0,$Z38*10%)</f>
        <v>0</v>
      </c>
      <c r="AM38" s="206">
        <f>IF($Z38="",0,IF($U38="",0,$U38))</f>
        <v>0</v>
      </c>
      <c r="AN38" s="59">
        <f>SUM(AE38:AM38)</f>
        <v>0</v>
      </c>
      <c r="AO38" t="s">
        <v>135</v>
      </c>
    </row>
    <row r="39" spans="1:41" ht="30.75">
      <c r="A39" s="1">
        <v>38</v>
      </c>
      <c r="B39" s="266"/>
      <c r="C39" s="270"/>
      <c r="D39" s="53" t="s">
        <v>136</v>
      </c>
      <c r="E39" s="53"/>
      <c r="F39" s="1" t="s">
        <v>70</v>
      </c>
      <c r="G39" s="1"/>
      <c r="H39" s="25">
        <v>3</v>
      </c>
      <c r="I39" s="25"/>
      <c r="J39" s="25"/>
      <c r="K39" s="25">
        <v>2</v>
      </c>
      <c r="L39" s="25" t="s">
        <v>67</v>
      </c>
      <c r="M39" s="25"/>
      <c r="N39" s="25"/>
      <c r="O39" s="25"/>
      <c r="P39" s="25"/>
      <c r="Q39" s="25"/>
      <c r="R39" s="25"/>
      <c r="S39" s="25"/>
      <c r="T39" s="25"/>
      <c r="U39" s="25"/>
      <c r="V39" s="48"/>
      <c r="W39" s="175">
        <f t="shared" si="1"/>
        <v>0</v>
      </c>
      <c r="X39" s="175">
        <f t="shared" si="2"/>
        <v>0</v>
      </c>
      <c r="Y39" s="181">
        <f t="shared" si="3"/>
        <v>0</v>
      </c>
      <c r="Z39" s="207">
        <f t="shared" si="4"/>
        <v>0</v>
      </c>
      <c r="AA39" s="185"/>
      <c r="AB39" s="185"/>
      <c r="AC39" s="185"/>
      <c r="AD39" s="185"/>
      <c r="AE39" s="206">
        <f>IF($Z39="",0,IF($M39="",0,$M39))</f>
        <v>0</v>
      </c>
      <c r="AF39" s="206">
        <f>IF(OR($Z39="",$N39=""),0,$Z39*5%)</f>
        <v>0</v>
      </c>
      <c r="AG39" s="206">
        <f>IF(OR($Z39="",$O39=""),0,$Z39*10%)</f>
        <v>0</v>
      </c>
      <c r="AH39" s="206">
        <f>IF($Z39="",0,IF(AND($P39="",$Q39=""),($Z39-$AE39-$AF39-$AG39-$AJ39-$AK39-$AL39-$AM39),IF($P39="",0,IF($Q39="",($Z39-$AE39-$AF39-$AG39-$AJ39-$AK39-$AL39-$AM39),($Z39-$AE39-$AF39-$AG39-$AJ39-$AK39-$AL39-$AM39)-$AI39))))</f>
        <v>0</v>
      </c>
      <c r="AI39" s="206">
        <f>IF($Z39="",0,IF(AND($P39="",$Q39=""),0,IF($Q39="",0,IF($P39="",($Z39-$AE39-$AF39-$AG39-$AJ39-$AK39-$AL39-$AM39),($Z39-$AE39-$AF39-$AG39-$AJ39-$AK39-$AL39-$AM39)*15%/(50%+15%)))))</f>
        <v>0</v>
      </c>
      <c r="AJ39" s="206">
        <f>IF($Z39="",0,IF($R39="",0,$R39))</f>
        <v>0</v>
      </c>
      <c r="AK39" s="206">
        <f>IF(OR($Z39="",$S39=""),0,$Z39*10%)</f>
        <v>0</v>
      </c>
      <c r="AL39" s="206">
        <f>IF(OR($Z39="",$T39=""),0,$Z39*10%)</f>
        <v>0</v>
      </c>
      <c r="AM39" s="206">
        <f>IF($Z39="",0,IF($U39="",0,$U39))</f>
        <v>0</v>
      </c>
      <c r="AN39" s="59">
        <f>SUM(AE39:AM39)</f>
        <v>0</v>
      </c>
    </row>
    <row r="40" spans="1:41" ht="15">
      <c r="A40" s="1">
        <v>39</v>
      </c>
      <c r="B40" s="266"/>
      <c r="C40" s="231" t="s">
        <v>137</v>
      </c>
      <c r="D40" s="67" t="s">
        <v>138</v>
      </c>
      <c r="E40" s="67"/>
      <c r="F40" s="1" t="s">
        <v>70</v>
      </c>
      <c r="G40" s="1"/>
      <c r="H40" s="25">
        <v>3</v>
      </c>
      <c r="I40" s="25"/>
      <c r="J40" s="25"/>
      <c r="K40" s="25">
        <v>1</v>
      </c>
      <c r="L40" s="25" t="s">
        <v>67</v>
      </c>
      <c r="M40" s="25"/>
      <c r="N40" s="25"/>
      <c r="O40" s="25">
        <v>10</v>
      </c>
      <c r="P40" s="25"/>
      <c r="Q40" s="25"/>
      <c r="R40" s="25"/>
      <c r="S40" s="25"/>
      <c r="T40" s="25"/>
      <c r="U40" s="25"/>
      <c r="V40" s="48">
        <f t="shared" si="0"/>
        <v>10</v>
      </c>
      <c r="W40" s="175">
        <f t="shared" si="1"/>
        <v>5</v>
      </c>
      <c r="X40" s="175">
        <f t="shared" si="2"/>
        <v>12.5</v>
      </c>
      <c r="Y40" s="181">
        <f t="shared" si="3"/>
        <v>9.5833333333333339</v>
      </c>
      <c r="Z40" s="207">
        <f t="shared" si="4"/>
        <v>4.791666666666667</v>
      </c>
      <c r="AA40" s="185"/>
      <c r="AB40" s="185"/>
      <c r="AC40" s="185"/>
      <c r="AD40" s="185"/>
      <c r="AE40" s="206">
        <f>IF($Z40="",0,IF($M40="",0,$M40))</f>
        <v>0</v>
      </c>
      <c r="AF40" s="206">
        <f>IF(OR($Z40="",$N40=""),0,$Z40*5%)</f>
        <v>0</v>
      </c>
      <c r="AG40" s="206">
        <f>IF(OR($Z40="",$O40=""),0,$Z40*10%)</f>
        <v>0.47916666666666674</v>
      </c>
      <c r="AH40" s="206">
        <f>IF($Z40="",0,IF(AND($P40="",$Q40=""),($Z40-$AE40-$AF40-$AG40-$AJ40-$AK40-$AL40-$AM40),IF($P40="",0,IF($Q40="",($Z40-$AE40-$AF40-$AG40-$AJ40-$AK40-$AL40-$AM40),($Z40-$AE40-$AF40-$AG40-$AJ40-$AK40-$AL40-$AM40)-$AI40))))</f>
        <v>4.3125</v>
      </c>
      <c r="AI40" s="206">
        <f>IF($Z40="",0,IF(AND($P40="",$Q40=""),0,IF($Q40="",0,IF($P40="",($Z40-$AE40-$AF40-$AG40-$AJ40-$AK40-$AL40-$AM40),($Z40-$AE40-$AF40-$AG40-$AJ40-$AK40-$AL40-$AM40)*15%/(50%+15%)))))</f>
        <v>0</v>
      </c>
      <c r="AJ40" s="206">
        <f>IF($Z40="",0,IF($R40="",0,$R40))</f>
        <v>0</v>
      </c>
      <c r="AK40" s="206">
        <f>IF(OR($Z40="",$S40=""),0,$Z40*10%)</f>
        <v>0</v>
      </c>
      <c r="AL40" s="206">
        <f>IF(OR($Z40="",$T40=""),0,$Z40*10%)</f>
        <v>0</v>
      </c>
      <c r="AM40" s="206">
        <f>IF($Z40="",0,IF($U40="",0,$U40))</f>
        <v>0</v>
      </c>
      <c r="AN40" s="59">
        <f>SUM(AE40:AM40)</f>
        <v>4.791666666666667</v>
      </c>
      <c r="AO40" t="s">
        <v>139</v>
      </c>
    </row>
    <row r="41" spans="1:41" ht="15">
      <c r="A41" s="1">
        <v>40</v>
      </c>
      <c r="B41" s="266"/>
      <c r="C41" s="267" t="s">
        <v>140</v>
      </c>
      <c r="D41" s="201" t="s">
        <v>141</v>
      </c>
      <c r="E41" s="201"/>
      <c r="F41" s="1" t="s">
        <v>63</v>
      </c>
      <c r="G41" s="1"/>
      <c r="H41" s="25">
        <v>2</v>
      </c>
      <c r="I41" s="25"/>
      <c r="J41" s="25"/>
      <c r="K41" s="25">
        <v>1</v>
      </c>
      <c r="L41" s="25" t="s">
        <v>67</v>
      </c>
      <c r="M41" s="25"/>
      <c r="N41" s="25"/>
      <c r="O41" s="25">
        <v>2</v>
      </c>
      <c r="P41" s="25">
        <v>8</v>
      </c>
      <c r="Q41" s="25">
        <v>5</v>
      </c>
      <c r="R41" s="25"/>
      <c r="S41" s="25">
        <v>5</v>
      </c>
      <c r="T41" s="25"/>
      <c r="U41" s="25"/>
      <c r="V41" s="48">
        <f t="shared" si="0"/>
        <v>20</v>
      </c>
      <c r="W41" s="175">
        <f t="shared" si="1"/>
        <v>10</v>
      </c>
      <c r="X41" s="175">
        <f t="shared" si="2"/>
        <v>25</v>
      </c>
      <c r="Y41" s="181">
        <f t="shared" si="3"/>
        <v>19.166666666666668</v>
      </c>
      <c r="Z41" s="207">
        <f>Y41/2</f>
        <v>9.5833333333333339</v>
      </c>
      <c r="AA41" s="185"/>
      <c r="AB41" s="185"/>
      <c r="AC41" s="185"/>
      <c r="AD41" s="185"/>
      <c r="AE41" s="206">
        <f>IF($Z41="",0,IF($M41="",0,$M41))</f>
        <v>0</v>
      </c>
      <c r="AF41" s="206">
        <f>IF(OR($Z41="",$N41=""),0,$Z41*5%)</f>
        <v>0</v>
      </c>
      <c r="AG41" s="206">
        <f>IF(OR($Z41="",$O41=""),0,$Z41*10%)</f>
        <v>0.95833333333333348</v>
      </c>
      <c r="AH41" s="206">
        <f>IF($Z41="",0,IF(AND($P41="",$Q41=""),($Z41-$AE41-$AF41-$AG41-$AJ41-$AK41-$AL41-$AM41),IF($P41="",0,IF($Q41="",($Z41-$AE41-$AF41-$AG41-$AJ41-$AK41-$AL41-$AM41),($Z41-$AE41-$AF41-$AG41-$AJ41-$AK41-$AL41-$AM41)-$AI41))))</f>
        <v>5.8974358974358969</v>
      </c>
      <c r="AI41" s="206">
        <f>IF($Z41="",0,IF(AND($P41="",$Q41=""),0,IF($Q41="",0,IF($P41="",($Z41-$AE41-$AF41-$AG41-$AJ41-$AK41-$AL41-$AM41),($Z41-$AE41-$AF41-$AG41-$AJ41-$AK41-$AL41-$AM41)*15%/(50%+15%)))))</f>
        <v>1.7692307692307689</v>
      </c>
      <c r="AJ41" s="206">
        <f>IF($Z41="",0,IF($R41="",0,$R41))</f>
        <v>0</v>
      </c>
      <c r="AK41" s="206">
        <f>IF(OR($Z41="",$S41=""),0,$Z41*10%)</f>
        <v>0.95833333333333348</v>
      </c>
      <c r="AL41" s="206">
        <f>IF(OR($Z41="",$T41=""),0,$Z41*10%)</f>
        <v>0</v>
      </c>
      <c r="AM41" s="206">
        <f>IF($Z41="",0,IF($U41="",0,$U41))</f>
        <v>0</v>
      </c>
      <c r="AN41" s="59">
        <f>SUM(AE41:AM41)</f>
        <v>9.5833333333333321</v>
      </c>
      <c r="AO41" t="s">
        <v>142</v>
      </c>
    </row>
    <row r="42" spans="1:41" ht="15">
      <c r="A42" s="1">
        <v>41</v>
      </c>
      <c r="B42" s="266"/>
      <c r="C42" s="267"/>
      <c r="D42" s="201" t="s">
        <v>143</v>
      </c>
      <c r="E42" s="201"/>
      <c r="F42" s="1" t="s">
        <v>63</v>
      </c>
      <c r="G42" s="1"/>
      <c r="H42" s="25">
        <v>2</v>
      </c>
      <c r="I42" s="25"/>
      <c r="J42" s="25"/>
      <c r="K42" s="25">
        <v>1</v>
      </c>
      <c r="L42" s="25" t="s">
        <v>67</v>
      </c>
      <c r="M42" s="25"/>
      <c r="N42" s="25"/>
      <c r="O42" s="25"/>
      <c r="P42" s="25"/>
      <c r="Q42" s="25"/>
      <c r="R42" s="25"/>
      <c r="S42" s="25"/>
      <c r="T42" s="25"/>
      <c r="U42" s="25"/>
      <c r="V42" s="48">
        <f t="shared" si="0"/>
        <v>0</v>
      </c>
      <c r="W42" s="175">
        <f t="shared" si="1"/>
        <v>0</v>
      </c>
      <c r="X42" s="175">
        <f t="shared" si="2"/>
        <v>0</v>
      </c>
      <c r="Y42" s="181">
        <f t="shared" si="3"/>
        <v>0</v>
      </c>
      <c r="Z42" s="207">
        <f t="shared" si="4"/>
        <v>0</v>
      </c>
      <c r="AA42" s="185"/>
      <c r="AB42" s="185"/>
      <c r="AC42" s="185"/>
      <c r="AD42" s="185"/>
      <c r="AE42" s="206">
        <f>IF($Z42="",0,IF($M42="",0,$M42))</f>
        <v>0</v>
      </c>
      <c r="AF42" s="206">
        <f>IF(OR($Z42="",$N42=""),0,$Z42*5%)</f>
        <v>0</v>
      </c>
      <c r="AG42" s="206">
        <f>IF(OR($Z42="",$O42=""),0,$Z42*10%)</f>
        <v>0</v>
      </c>
      <c r="AH42" s="206">
        <f>IF($Z42="",0,IF(AND($P42="",$Q42=""),($Z42-$AE42-$AF42-$AG42-$AJ42-$AK42-$AL42-$AM42),IF($P42="",0,IF($Q42="",($Z42-$AE42-$AF42-$AG42-$AJ42-$AK42-$AL42-$AM42),($Z42-$AE42-$AF42-$AG42-$AJ42-$AK42-$AL42-$AM42)-$AI42))))</f>
        <v>0</v>
      </c>
      <c r="AI42" s="206">
        <f>IF($Z42="",0,IF(AND($P42="",$Q42=""),0,IF($Q42="",0,IF($P42="",($Z42-$AE42-$AF42-$AG42-$AJ42-$AK42-$AL42-$AM42),($Z42-$AE42-$AF42-$AG42-$AJ42-$AK42-$AL42-$AM42)*15%/(50%+15%)))))</f>
        <v>0</v>
      </c>
      <c r="AJ42" s="206">
        <f>IF($Z42="",0,IF($R42="",0,$R42))</f>
        <v>0</v>
      </c>
      <c r="AK42" s="206">
        <f>IF(OR($Z42="",$S42=""),0,$Z42*10%)</f>
        <v>0</v>
      </c>
      <c r="AL42" s="206">
        <f>IF(OR($Z42="",$T42=""),0,$Z42*10%)</f>
        <v>0</v>
      </c>
      <c r="AM42" s="206">
        <f>IF($Z42="",0,IF($U42="",0,$U42))</f>
        <v>0</v>
      </c>
      <c r="AN42" s="59">
        <f>SUM(AE42:AM42)</f>
        <v>0</v>
      </c>
      <c r="AO42" t="s">
        <v>142</v>
      </c>
    </row>
    <row r="43" spans="1:41" ht="15">
      <c r="A43" s="1">
        <v>42</v>
      </c>
      <c r="B43" s="271" t="s">
        <v>144</v>
      </c>
      <c r="C43" s="268" t="s">
        <v>145</v>
      </c>
      <c r="D43" s="53" t="s">
        <v>146</v>
      </c>
      <c r="E43" s="53"/>
      <c r="F43" s="1" t="s">
        <v>63</v>
      </c>
      <c r="G43" s="1"/>
      <c r="H43" s="25"/>
      <c r="I43" s="25"/>
      <c r="J43" s="25"/>
      <c r="K43" s="25">
        <v>1</v>
      </c>
      <c r="L43" s="25" t="s">
        <v>67</v>
      </c>
      <c r="M43" s="25"/>
      <c r="N43" s="25"/>
      <c r="O43" s="25">
        <v>1</v>
      </c>
      <c r="P43" s="25">
        <v>2</v>
      </c>
      <c r="Q43" s="25">
        <v>2</v>
      </c>
      <c r="R43" s="25"/>
      <c r="S43" s="25">
        <v>1</v>
      </c>
      <c r="T43" s="25"/>
      <c r="U43" s="25"/>
      <c r="V43" s="48">
        <f t="shared" si="0"/>
        <v>6</v>
      </c>
      <c r="W43" s="175">
        <f t="shared" si="1"/>
        <v>3</v>
      </c>
      <c r="X43" s="175">
        <f t="shared" si="2"/>
        <v>7.5</v>
      </c>
      <c r="Y43" s="181">
        <f t="shared" si="3"/>
        <v>5.75</v>
      </c>
      <c r="Z43" s="207">
        <f>Y43/2</f>
        <v>2.875</v>
      </c>
      <c r="AA43" s="185"/>
      <c r="AB43" s="185"/>
      <c r="AC43" s="185"/>
      <c r="AD43" s="185"/>
      <c r="AE43" s="206">
        <f>IF($Z43="",0,IF($M43="",0,$M43))</f>
        <v>0</v>
      </c>
      <c r="AF43" s="206">
        <f>IF(OR($Z43="",$N43=""),0,$Z43*5%)</f>
        <v>0</v>
      </c>
      <c r="AG43" s="206">
        <f>IF(OR($Z43="",$O43=""),0,$Z43*10%)</f>
        <v>0.28750000000000003</v>
      </c>
      <c r="AH43" s="206">
        <f>IF($Z43="",0,IF(AND($P43="",$Q43=""),($Z43-$AE43-$AF43-$AG43-$AJ43-$AK43-$AL43-$AM43),IF($P43="",0,IF($Q43="",($Z43-$AE43-$AF43-$AG43-$AJ43-$AK43-$AL43-$AM43),($Z43-$AE43-$AF43-$AG43-$AJ43-$AK43-$AL43-$AM43)-$AI43))))</f>
        <v>1.7692307692307692</v>
      </c>
      <c r="AI43" s="206">
        <f>IF($Z43="",0,IF(AND($P43="",$Q43=""),0,IF($Q43="",0,IF($P43="",($Z43-$AE43-$AF43-$AG43-$AJ43-$AK43-$AL43-$AM43),($Z43-$AE43-$AF43-$AG43-$AJ43-$AK43-$AL43-$AM43)*15%/(50%+15%)))))</f>
        <v>0.53076923076923066</v>
      </c>
      <c r="AJ43" s="206">
        <f>IF($Z43="",0,IF($R43="",0,$R43))</f>
        <v>0</v>
      </c>
      <c r="AK43" s="206">
        <f>IF(OR($Z43="",$S43=""),0,$Z43*10%)</f>
        <v>0.28750000000000003</v>
      </c>
      <c r="AL43" s="206">
        <f>IF(OR($Z43="",$T43=""),0,$Z43*10%)</f>
        <v>0</v>
      </c>
      <c r="AM43" s="206">
        <f>IF($Z43="",0,IF($U43="",0,$U43))</f>
        <v>0</v>
      </c>
      <c r="AN43" s="59">
        <f>SUM(AE43:AM43)</f>
        <v>2.875</v>
      </c>
      <c r="AO43" t="s">
        <v>147</v>
      </c>
    </row>
    <row r="44" spans="1:41" ht="15">
      <c r="A44" s="1">
        <v>43</v>
      </c>
      <c r="B44" s="272"/>
      <c r="C44" s="268"/>
      <c r="D44" s="53" t="s">
        <v>148</v>
      </c>
      <c r="E44" s="53"/>
      <c r="F44" s="1" t="s">
        <v>70</v>
      </c>
      <c r="G44" s="1"/>
      <c r="H44" s="49">
        <v>1</v>
      </c>
      <c r="I44" s="25"/>
      <c r="J44" s="25"/>
      <c r="K44" s="25" t="s">
        <v>100</v>
      </c>
      <c r="L44" s="25" t="s">
        <v>67</v>
      </c>
      <c r="M44" s="25"/>
      <c r="N44" s="25"/>
      <c r="O44" s="25"/>
      <c r="P44" s="25"/>
      <c r="Q44" s="25"/>
      <c r="R44" s="25"/>
      <c r="S44" s="25"/>
      <c r="T44" s="25"/>
      <c r="U44" s="25"/>
      <c r="V44" s="48">
        <f t="shared" si="0"/>
        <v>0</v>
      </c>
      <c r="W44" s="175">
        <f t="shared" si="1"/>
        <v>0</v>
      </c>
      <c r="X44" s="175">
        <f t="shared" si="2"/>
        <v>0</v>
      </c>
      <c r="Y44" s="181">
        <f t="shared" si="3"/>
        <v>0</v>
      </c>
      <c r="Z44" s="207">
        <f t="shared" si="4"/>
        <v>0</v>
      </c>
      <c r="AA44" s="185"/>
      <c r="AB44" s="185"/>
      <c r="AC44" s="185"/>
      <c r="AD44" s="185"/>
      <c r="AE44" s="206">
        <f>IF($Z44="",0,IF($M44="",0,$M44))</f>
        <v>0</v>
      </c>
      <c r="AF44" s="206">
        <f>IF(OR($Z44="",$N44=""),0,$Z44*5%)</f>
        <v>0</v>
      </c>
      <c r="AG44" s="206">
        <f>IF(OR($Z44="",$O44=""),0,$Z44*10%)</f>
        <v>0</v>
      </c>
      <c r="AH44" s="206">
        <f>IF($Z44="",0,IF(AND($P44="",$Q44=""),($Z44-$AE44-$AF44-$AG44-$AJ44-$AK44-$AL44-$AM44),IF($P44="",0,IF($Q44="",($Z44-$AE44-$AF44-$AG44-$AJ44-$AK44-$AL44-$AM44),($Z44-$AE44-$AF44-$AG44-$AJ44-$AK44-$AL44-$AM44)-$AI44))))</f>
        <v>0</v>
      </c>
      <c r="AI44" s="206">
        <f>IF($Z44="",0,IF(AND($P44="",$Q44=""),0,IF($Q44="",0,IF($P44="",($Z44-$AE44-$AF44-$AG44-$AJ44-$AK44-$AL44-$AM44),($Z44-$AE44-$AF44-$AG44-$AJ44-$AK44-$AL44-$AM44)*15%/(50%+15%)))))</f>
        <v>0</v>
      </c>
      <c r="AJ44" s="206">
        <f>IF($Z44="",0,IF($R44="",0,$R44))</f>
        <v>0</v>
      </c>
      <c r="AK44" s="206">
        <f>IF(OR($Z44="",$S44=""),0,$Z44*10%)</f>
        <v>0</v>
      </c>
      <c r="AL44" s="206">
        <f>IF(OR($Z44="",$T44=""),0,$Z44*10%)</f>
        <v>0</v>
      </c>
      <c r="AM44" s="206">
        <f>IF($Z44="",0,IF($U44="",0,$U44))</f>
        <v>0</v>
      </c>
      <c r="AN44" s="59">
        <f>SUM(AE44:AM44)</f>
        <v>0</v>
      </c>
    </row>
    <row r="45" spans="1:41" ht="60.75">
      <c r="A45" s="1">
        <v>44</v>
      </c>
      <c r="B45" s="272"/>
      <c r="C45" s="2" t="s">
        <v>149</v>
      </c>
      <c r="D45" s="53" t="s">
        <v>150</v>
      </c>
      <c r="E45" s="261" t="s">
        <v>151</v>
      </c>
      <c r="F45" s="34" t="s">
        <v>152</v>
      </c>
      <c r="G45" s="1"/>
      <c r="H45" s="49">
        <v>3</v>
      </c>
      <c r="I45" s="25"/>
      <c r="J45" s="25"/>
      <c r="K45" s="25">
        <v>1</v>
      </c>
      <c r="L45" s="25" t="s">
        <v>67</v>
      </c>
      <c r="M45" s="25"/>
      <c r="N45" s="25"/>
      <c r="O45" s="25">
        <v>10</v>
      </c>
      <c r="P45" s="25">
        <v>30</v>
      </c>
      <c r="Q45" s="25">
        <v>10</v>
      </c>
      <c r="R45" s="25"/>
      <c r="S45" s="25"/>
      <c r="T45" s="25">
        <v>5</v>
      </c>
      <c r="U45" s="25">
        <f>10+2</f>
        <v>12</v>
      </c>
      <c r="V45" s="48">
        <f t="shared" si="0"/>
        <v>67</v>
      </c>
      <c r="W45" s="175">
        <f t="shared" si="1"/>
        <v>33.5</v>
      </c>
      <c r="X45" s="175">
        <f t="shared" si="2"/>
        <v>83.75</v>
      </c>
      <c r="Y45" s="181">
        <f t="shared" si="3"/>
        <v>64.208333333333329</v>
      </c>
      <c r="Z45" s="207">
        <f t="shared" si="4"/>
        <v>32.104166666666664</v>
      </c>
      <c r="AA45" s="185">
        <v>46146</v>
      </c>
      <c r="AB45" s="185">
        <v>46171</v>
      </c>
      <c r="AC45" s="185">
        <v>46174</v>
      </c>
      <c r="AD45" s="185">
        <v>46183</v>
      </c>
      <c r="AE45" s="206">
        <f>IF($Z45="",0,IF($M45="",0,$M45))</f>
        <v>0</v>
      </c>
      <c r="AF45" s="206">
        <f>IF(OR($Z45="",$N45=""),0,$Z45*5%)</f>
        <v>0</v>
      </c>
      <c r="AG45" s="206">
        <f>IF(OR($Z45="",$O45=""),0,$Z45*10%)</f>
        <v>3.2104166666666667</v>
      </c>
      <c r="AH45" s="206">
        <f>IF($Z45="",0,IF(AND($P45="",$Q45=""),($Z45-$AE45-$AF45-$AG45-$AJ45-$AK45-$AL45-$AM45),IF($P45="",0,IF($Q45="",($Z45-$AE45-$AF45-$AG45-$AJ45-$AK45-$AL45-$AM45),($Z45-$AE45-$AF45-$AG45-$AJ45-$AK45-$AL45-$AM45)-$AI45))))</f>
        <v>10.525641025641024</v>
      </c>
      <c r="AI45" s="206">
        <f>IF($Z45="",0,IF(AND($P45="",$Q45=""),0,IF($Q45="",0,IF($P45="",($Z45-$AE45-$AF45-$AG45-$AJ45-$AK45-$AL45-$AM45),($Z45-$AE45-$AF45-$AG45-$AJ45-$AK45-$AL45-$AM45)*15%/(50%+15%)))))</f>
        <v>3.1576923076923067</v>
      </c>
      <c r="AJ45" s="206">
        <f>IF($Z45="",0,IF($R45="",0,$R45))</f>
        <v>0</v>
      </c>
      <c r="AK45" s="206">
        <f>IF(OR($Z45="",$S45=""),0,$Z45*10%)</f>
        <v>0</v>
      </c>
      <c r="AL45" s="206">
        <f>IF(OR($Z45="",$T45=""),0,$Z45*10%)</f>
        <v>3.2104166666666667</v>
      </c>
      <c r="AM45" s="206">
        <f>IF($Z45="",0,IF($U45="",0,$U45))</f>
        <v>12</v>
      </c>
      <c r="AN45" s="59">
        <f>SUM(AE45:AM45)</f>
        <v>32.104166666666664</v>
      </c>
    </row>
    <row r="46" spans="1:41" ht="15">
      <c r="A46" s="1">
        <v>45</v>
      </c>
      <c r="B46" s="272"/>
      <c r="C46" s="2" t="s">
        <v>153</v>
      </c>
      <c r="D46" s="67" t="s">
        <v>153</v>
      </c>
      <c r="E46" s="67"/>
      <c r="F46" s="1" t="s">
        <v>154</v>
      </c>
      <c r="G46" s="1"/>
      <c r="H46" s="49">
        <v>2</v>
      </c>
      <c r="I46" s="25"/>
      <c r="J46" s="25"/>
      <c r="K46" s="25">
        <v>1</v>
      </c>
      <c r="L46" s="25" t="s">
        <v>67</v>
      </c>
      <c r="M46" s="25"/>
      <c r="N46" s="25"/>
      <c r="O46" s="25"/>
      <c r="P46" s="25"/>
      <c r="Q46" s="25"/>
      <c r="R46" s="25"/>
      <c r="S46" s="25"/>
      <c r="T46" s="25"/>
      <c r="U46" s="25"/>
      <c r="V46" s="48">
        <f t="shared" si="0"/>
        <v>0</v>
      </c>
      <c r="W46" s="175">
        <f t="shared" si="1"/>
        <v>0</v>
      </c>
      <c r="X46" s="175">
        <f t="shared" si="2"/>
        <v>0</v>
      </c>
      <c r="Y46" s="181">
        <f t="shared" si="3"/>
        <v>0</v>
      </c>
      <c r="Z46" s="207">
        <f t="shared" si="4"/>
        <v>0</v>
      </c>
      <c r="AA46" s="185"/>
      <c r="AB46" s="185"/>
      <c r="AC46" s="185"/>
      <c r="AD46" s="185"/>
      <c r="AE46" s="206">
        <f>IF($Z46="",0,IF($M46="",0,$M46))</f>
        <v>0</v>
      </c>
      <c r="AF46" s="206">
        <f>IF(OR($Z46="",$N46=""),0,$Z46*5%)</f>
        <v>0</v>
      </c>
      <c r="AG46" s="206">
        <f>IF(OR($Z46="",$O46=""),0,$Z46*10%)</f>
        <v>0</v>
      </c>
      <c r="AH46" s="206">
        <f>IF($Z46="",0,IF(AND($P46="",$Q46=""),($Z46-$AE46-$AF46-$AG46-$AJ46-$AK46-$AL46-$AM46),IF($P46="",0,IF($Q46="",($Z46-$AE46-$AF46-$AG46-$AJ46-$AK46-$AL46-$AM46),($Z46-$AE46-$AF46-$AG46-$AJ46-$AK46-$AL46-$AM46)-$AI46))))</f>
        <v>0</v>
      </c>
      <c r="AI46" s="206">
        <f>IF($Z46="",0,IF(AND($P46="",$Q46=""),0,IF($Q46="",0,IF($P46="",($Z46-$AE46-$AF46-$AG46-$AJ46-$AK46-$AL46-$AM46),($Z46-$AE46-$AF46-$AG46-$AJ46-$AK46-$AL46-$AM46)*15%/(50%+15%)))))</f>
        <v>0</v>
      </c>
      <c r="AJ46" s="206">
        <f>IF($Z46="",0,IF($R46="",0,$R46))</f>
        <v>0</v>
      </c>
      <c r="AK46" s="206">
        <f>IF(OR($Z46="",$S46=""),0,$Z46*10%)</f>
        <v>0</v>
      </c>
      <c r="AL46" s="206">
        <f>IF(OR($Z46="",$T46=""),0,$Z46*10%)</f>
        <v>0</v>
      </c>
      <c r="AM46" s="206">
        <f>IF($Z46="",0,IF($U46="",0,$U46))</f>
        <v>0</v>
      </c>
      <c r="AN46" s="59">
        <f>SUM(AE46:AM46)</f>
        <v>0</v>
      </c>
    </row>
    <row r="47" spans="1:41" ht="15">
      <c r="A47" s="1">
        <v>46</v>
      </c>
      <c r="B47" s="272"/>
      <c r="C47" s="232" t="s">
        <v>155</v>
      </c>
      <c r="D47" s="67" t="s">
        <v>156</v>
      </c>
      <c r="E47" s="67"/>
      <c r="F47" s="1" t="s">
        <v>70</v>
      </c>
      <c r="G47" s="1"/>
      <c r="H47" s="49">
        <v>1</v>
      </c>
      <c r="I47" s="25"/>
      <c r="J47" s="25"/>
      <c r="K47" s="25" t="s">
        <v>100</v>
      </c>
      <c r="L47" s="25"/>
      <c r="M47" s="25"/>
      <c r="N47" s="25"/>
      <c r="O47" s="25"/>
      <c r="P47" s="25"/>
      <c r="Q47" s="25"/>
      <c r="R47" s="25"/>
      <c r="S47" s="25"/>
      <c r="T47" s="25"/>
      <c r="U47" s="25"/>
      <c r="V47" s="48">
        <f t="shared" si="0"/>
        <v>0</v>
      </c>
      <c r="W47" s="175">
        <f t="shared" si="1"/>
        <v>0</v>
      </c>
      <c r="X47" s="175">
        <f t="shared" si="2"/>
        <v>0</v>
      </c>
      <c r="Y47" s="181">
        <f t="shared" si="3"/>
        <v>0</v>
      </c>
      <c r="Z47" s="207">
        <f t="shared" si="4"/>
        <v>0</v>
      </c>
      <c r="AA47" s="185"/>
      <c r="AB47" s="185"/>
      <c r="AC47" s="185"/>
      <c r="AD47" s="185"/>
      <c r="AE47" s="206">
        <f>IF($Z47="",0,IF($M47="",0,$M47))</f>
        <v>0</v>
      </c>
      <c r="AF47" s="206">
        <f>IF(OR($Z47="",$N47=""),0,$Z47*5%)</f>
        <v>0</v>
      </c>
      <c r="AG47" s="206">
        <f>IF(OR($Z47="",$O47=""),0,$Z47*10%)</f>
        <v>0</v>
      </c>
      <c r="AH47" s="206">
        <f>IF($Z47="",0,IF(AND($P47="",$Q47=""),($Z47-$AE47-$AF47-$AG47-$AJ47-$AK47-$AL47-$AM47),IF($P47="",0,IF($Q47="",($Z47-$AE47-$AF47-$AG47-$AJ47-$AK47-$AL47-$AM47),($Z47-$AE47-$AF47-$AG47-$AJ47-$AK47-$AL47-$AM47)-$AI47))))</f>
        <v>0</v>
      </c>
      <c r="AI47" s="206">
        <f>IF($Z47="",0,IF(AND($P47="",$Q47=""),0,IF($Q47="",0,IF($P47="",($Z47-$AE47-$AF47-$AG47-$AJ47-$AK47-$AL47-$AM47),($Z47-$AE47-$AF47-$AG47-$AJ47-$AK47-$AL47-$AM47)*15%/(50%+15%)))))</f>
        <v>0</v>
      </c>
      <c r="AJ47" s="206">
        <f>IF($Z47="",0,IF($R47="",0,$R47))</f>
        <v>0</v>
      </c>
      <c r="AK47" s="206">
        <f>IF(OR($Z47="",$S47=""),0,$Z47*10%)</f>
        <v>0</v>
      </c>
      <c r="AL47" s="206">
        <f>IF(OR($Z47="",$T47=""),0,$Z47*10%)</f>
        <v>0</v>
      </c>
      <c r="AM47" s="206">
        <f>IF($Z47="",0,IF($U47="",0,$U47))</f>
        <v>0</v>
      </c>
      <c r="AN47" s="59">
        <f>SUM(AE47:AM47)</f>
        <v>0</v>
      </c>
    </row>
    <row r="48" spans="1:41" ht="60.75">
      <c r="A48" s="1">
        <v>47</v>
      </c>
      <c r="B48" s="272"/>
      <c r="C48" s="27" t="s">
        <v>157</v>
      </c>
      <c r="D48" s="53" t="s">
        <v>157</v>
      </c>
      <c r="E48" s="237" t="s">
        <v>158</v>
      </c>
      <c r="F48" s="8" t="s">
        <v>63</v>
      </c>
      <c r="G48" s="1"/>
      <c r="H48" s="49">
        <v>2</v>
      </c>
      <c r="I48" s="25"/>
      <c r="J48" s="25"/>
      <c r="K48" s="25">
        <v>1</v>
      </c>
      <c r="L48" s="25" t="s">
        <v>67</v>
      </c>
      <c r="M48" s="25"/>
      <c r="N48" s="25">
        <v>5</v>
      </c>
      <c r="O48" s="25">
        <v>5</v>
      </c>
      <c r="P48" s="25">
        <v>12</v>
      </c>
      <c r="Q48" s="25">
        <v>5</v>
      </c>
      <c r="R48" s="25"/>
      <c r="S48" s="25"/>
      <c r="T48" s="25"/>
      <c r="U48" s="25">
        <v>12</v>
      </c>
      <c r="V48" s="48">
        <f t="shared" si="0"/>
        <v>39</v>
      </c>
      <c r="W48" s="175">
        <f t="shared" si="1"/>
        <v>19.5</v>
      </c>
      <c r="X48" s="175">
        <f t="shared" si="2"/>
        <v>48.75</v>
      </c>
      <c r="Y48" s="181">
        <f t="shared" si="3"/>
        <v>37.375</v>
      </c>
      <c r="Z48" s="207">
        <f t="shared" si="4"/>
        <v>18.6875</v>
      </c>
      <c r="AA48" s="185">
        <v>46125</v>
      </c>
      <c r="AB48" s="185">
        <v>46142</v>
      </c>
      <c r="AC48" s="185">
        <v>46146</v>
      </c>
      <c r="AD48" s="185">
        <v>46149</v>
      </c>
      <c r="AE48" s="206">
        <f>IF($Z48="",0,IF($M48="",0,$M48))</f>
        <v>0</v>
      </c>
      <c r="AF48" s="206">
        <f>IF(OR($Z48="",$N48=""),0,$Z48*5%)</f>
        <v>0.93437500000000007</v>
      </c>
      <c r="AG48" s="206">
        <f>IF(OR($Z48="",$O48=""),0,$Z48*10%)</f>
        <v>1.8687500000000001</v>
      </c>
      <c r="AH48" s="206">
        <f>IF($Z48="",0,IF(AND($P48="",$Q48=""),($Z48-$AE48-$AF48-$AG48-$AJ48-$AK48-$AL48-$AM48),IF($P48="",0,IF($Q48="",($Z48-$AE48-$AF48-$AG48-$AJ48-$AK48-$AL48-$AM48),($Z48-$AE48-$AF48-$AG48-$AJ48-$AK48-$AL48-$AM48)-$AI48))))</f>
        <v>2.9879807692307696</v>
      </c>
      <c r="AI48" s="206">
        <f>IF($Z48="",0,IF(AND($P48="",$Q48=""),0,IF($Q48="",0,IF($P48="",($Z48-$AE48-$AF48-$AG48-$AJ48-$AK48-$AL48-$AM48),($Z48-$AE48-$AF48-$AG48-$AJ48-$AK48-$AL48-$AM48)*15%/(50%+15%)))))</f>
        <v>0.89639423076923075</v>
      </c>
      <c r="AJ48" s="206">
        <f>IF($Z48="",0,IF($R48="",0,$R48))</f>
        <v>0</v>
      </c>
      <c r="AK48" s="206">
        <f>IF(OR($Z48="",$S48=""),0,$Z48*10%)</f>
        <v>0</v>
      </c>
      <c r="AL48" s="206">
        <f>IF(OR($Z48="",$T48=""),0,$Z48*10%)</f>
        <v>0</v>
      </c>
      <c r="AM48" s="206">
        <f>IF($Z48="",0,IF($U48="",0,$U48))</f>
        <v>12</v>
      </c>
      <c r="AN48" s="59">
        <f>SUM(AE48:AM48)</f>
        <v>18.6875</v>
      </c>
    </row>
    <row r="49" spans="1:41" ht="15">
      <c r="A49" s="1"/>
      <c r="B49" s="273"/>
      <c r="C49" s="192" t="s">
        <v>159</v>
      </c>
      <c r="D49" s="193" t="s">
        <v>160</v>
      </c>
      <c r="E49" s="238" t="s">
        <v>161</v>
      </c>
      <c r="F49" s="1" t="s">
        <v>66</v>
      </c>
      <c r="G49" s="1"/>
      <c r="I49" s="25"/>
      <c r="J49" s="25"/>
      <c r="K49" s="25"/>
      <c r="L49" s="25"/>
      <c r="M49" s="25"/>
      <c r="N49" s="25">
        <v>0</v>
      </c>
      <c r="O49" s="25">
        <v>5</v>
      </c>
      <c r="P49" s="25">
        <v>10</v>
      </c>
      <c r="Q49" s="25">
        <v>5</v>
      </c>
      <c r="R49" s="25"/>
      <c r="S49" s="25">
        <v>3</v>
      </c>
      <c r="T49" s="25">
        <v>5</v>
      </c>
      <c r="U49" s="25">
        <v>10</v>
      </c>
      <c r="V49" s="48">
        <f>SUM(M49:U49)</f>
        <v>38</v>
      </c>
      <c r="W49" s="175">
        <f>V49 - (V49 * (SUBSTITUTE(SUBSTITUTE($W$2, "Optimistic (", ""), "%)", "") / 100))</f>
        <v>19</v>
      </c>
      <c r="X49" s="175">
        <f>V49 + (W49 * (SUBSTITUTE(SUBSTITUTE($W$2, "Optimistic (", ""), "%)", "") / 100))</f>
        <v>47.5</v>
      </c>
      <c r="Y49" s="181">
        <f>(W49+(4*V49)+X49)/6</f>
        <v>36.416666666666664</v>
      </c>
      <c r="Z49" s="207">
        <f>Y49/2</f>
        <v>18.208333333333332</v>
      </c>
      <c r="AA49" s="185">
        <v>46098</v>
      </c>
      <c r="AB49" s="185">
        <v>46115</v>
      </c>
      <c r="AC49" s="185">
        <v>46121</v>
      </c>
      <c r="AD49" s="229">
        <v>46128</v>
      </c>
      <c r="AE49" s="206">
        <f>IF($Z49="",0,IF($M49="",0,$M49))</f>
        <v>0</v>
      </c>
      <c r="AF49" s="206">
        <f>IF(OR($Z49="",$N49=""),0,$Z49*5%)</f>
        <v>0.91041666666666665</v>
      </c>
      <c r="AG49" s="206">
        <f>IF(OR($Z49="",$O49=""),0,$Z49*10%)</f>
        <v>1.8208333333333333</v>
      </c>
      <c r="AH49" s="206">
        <f>IF($Z49="",0,IF(AND($P49="",$Q49=""),($Z49-$AE49-$AF49-$AG49-$AJ49-$AK49-$AL49-$AM49),IF($P49="",0,IF($Q49="",($Z49-$AE49-$AF49-$AG49-$AJ49-$AK49-$AL49-$AM49),($Z49-$AE49-$AF49-$AG49-$AJ49-$AK49-$AL49-$AM49)-$AI49))))</f>
        <v>1.4118589743589747</v>
      </c>
      <c r="AI49" s="206">
        <f>IF($Z49="",0,IF(AND($P49="",$Q49=""),0,IF($Q49="",0,IF($P49="",($Z49-$AE49-$AF49-$AG49-$AJ49-$AK49-$AL49-$AM49),($Z49-$AE49-$AF49-$AG49-$AJ49-$AK49-$AL49-$AM49)*15%/(50%+15%)))))</f>
        <v>0.42355769230769241</v>
      </c>
      <c r="AJ49" s="206">
        <f>IF($Z49="",0,IF($R49="",0,$R49))</f>
        <v>0</v>
      </c>
      <c r="AK49" s="206">
        <f>IF(OR($Z49="",$S49=""),0,$Z49*10%)</f>
        <v>1.8208333333333333</v>
      </c>
      <c r="AL49" s="206">
        <f>IF(OR($Z49="",$T49=""),0,$Z49*10%)</f>
        <v>1.8208333333333333</v>
      </c>
      <c r="AM49" s="206">
        <f>IF($Z49="",0,IF($U49="",0,$U49))</f>
        <v>10</v>
      </c>
      <c r="AN49" s="208">
        <f>SUM(AE49:AM49)</f>
        <v>18.208333333333336</v>
      </c>
    </row>
    <row r="50" spans="1:41" ht="15">
      <c r="A50" s="1">
        <v>48</v>
      </c>
      <c r="B50" s="266" t="s">
        <v>162</v>
      </c>
      <c r="C50" s="267" t="s">
        <v>163</v>
      </c>
      <c r="D50" s="55" t="s">
        <v>164</v>
      </c>
      <c r="E50" s="55"/>
      <c r="F50" s="1" t="s">
        <v>70</v>
      </c>
      <c r="G50" s="1"/>
      <c r="H50" s="49">
        <v>1</v>
      </c>
      <c r="I50" s="25"/>
      <c r="J50" s="25"/>
      <c r="K50" s="25">
        <v>1</v>
      </c>
      <c r="L50" s="25" t="s">
        <v>64</v>
      </c>
      <c r="M50" s="25"/>
      <c r="N50" s="25"/>
      <c r="O50" s="25"/>
      <c r="P50" s="25"/>
      <c r="Q50" s="25"/>
      <c r="R50" s="25"/>
      <c r="S50" s="25"/>
      <c r="T50" s="25"/>
      <c r="U50" s="25"/>
      <c r="V50" s="48">
        <f t="shared" si="0"/>
        <v>0</v>
      </c>
      <c r="W50" s="175">
        <f t="shared" si="1"/>
        <v>0</v>
      </c>
      <c r="X50" s="175">
        <f t="shared" si="2"/>
        <v>0</v>
      </c>
      <c r="Y50" s="181">
        <f t="shared" si="3"/>
        <v>0</v>
      </c>
      <c r="Z50" s="207">
        <f t="shared" si="4"/>
        <v>0</v>
      </c>
      <c r="AA50" s="185"/>
      <c r="AB50" s="185"/>
      <c r="AC50" s="185"/>
      <c r="AD50" s="185"/>
      <c r="AE50" s="206">
        <f>IF($Z50="",0,IF($M50="",0,$M50))</f>
        <v>0</v>
      </c>
      <c r="AF50" s="206">
        <f>IF(OR($Z50="",$N50=""),0,$Z50*5%)</f>
        <v>0</v>
      </c>
      <c r="AG50" s="206">
        <f>IF(OR($Z50="",$O50=""),0,$Z50*10%)</f>
        <v>0</v>
      </c>
      <c r="AH50" s="206">
        <f>IF($Z50="",0,IF(AND($P50="",$Q50=""),($Z50-$AE50-$AF50-$AG50-$AJ50-$AK50-$AL50-$AM50),IF($P50="",0,IF($Q50="",($Z50-$AE50-$AF50-$AG50-$AJ50-$AK50-$AL50-$AM50),($Z50-$AE50-$AF50-$AG50-$AJ50-$AK50-$AL50-$AM50)-$AI50))))</f>
        <v>0</v>
      </c>
      <c r="AI50" s="206">
        <f>IF($Z50="",0,IF(AND($P50="",$Q50=""),0,IF($Q50="",0,IF($P50="",($Z50-$AE50-$AF50-$AG50-$AJ50-$AK50-$AL50-$AM50),($Z50-$AE50-$AF50-$AG50-$AJ50-$AK50-$AL50-$AM50)*15%/(50%+15%)))))</f>
        <v>0</v>
      </c>
      <c r="AJ50" s="206">
        <f>IF($Z50="",0,IF($R50="",0,$R50))</f>
        <v>0</v>
      </c>
      <c r="AK50" s="206">
        <f>IF(OR($Z50="",$S50=""),0,$Z50*10%)</f>
        <v>0</v>
      </c>
      <c r="AL50" s="206">
        <f>IF(OR($Z50="",$T50=""),0,$Z50*10%)</f>
        <v>0</v>
      </c>
      <c r="AM50" s="206">
        <f>IF($Z50="",0,IF($U50="",0,$U50))</f>
        <v>0</v>
      </c>
      <c r="AN50" s="59">
        <f>SUM(AE50:AM50)</f>
        <v>0</v>
      </c>
    </row>
    <row r="51" spans="1:41" ht="15">
      <c r="A51" s="1">
        <v>49</v>
      </c>
      <c r="B51" s="266"/>
      <c r="C51" s="267"/>
      <c r="D51" s="68" t="s">
        <v>163</v>
      </c>
      <c r="E51" s="68"/>
      <c r="F51" s="69" t="s">
        <v>70</v>
      </c>
      <c r="G51" s="69"/>
      <c r="H51" s="70">
        <v>1</v>
      </c>
      <c r="I51" s="71"/>
      <c r="J51" s="71"/>
      <c r="K51" s="71">
        <v>2</v>
      </c>
      <c r="L51" s="71" t="s">
        <v>67</v>
      </c>
      <c r="M51" s="71"/>
      <c r="N51" s="71"/>
      <c r="O51" s="71"/>
      <c r="P51" s="71"/>
      <c r="Q51" s="71"/>
      <c r="R51" s="71"/>
      <c r="S51" s="71"/>
      <c r="T51" s="71"/>
      <c r="U51" s="25"/>
      <c r="V51" s="48">
        <f t="shared" si="0"/>
        <v>0</v>
      </c>
      <c r="W51" s="175">
        <f t="shared" si="1"/>
        <v>0</v>
      </c>
      <c r="X51" s="175">
        <f t="shared" si="2"/>
        <v>0</v>
      </c>
      <c r="Y51" s="181">
        <f t="shared" si="3"/>
        <v>0</v>
      </c>
      <c r="Z51" s="207">
        <f t="shared" si="4"/>
        <v>0</v>
      </c>
      <c r="AA51" s="185"/>
      <c r="AB51" s="185"/>
      <c r="AC51" s="185"/>
      <c r="AD51" s="185"/>
      <c r="AE51" s="206">
        <f>IF($Z51="",0,IF($M51="",0,$M51))</f>
        <v>0</v>
      </c>
      <c r="AF51" s="206">
        <f>IF(OR($Z51="",$N51=""),0,$Z51*5%)</f>
        <v>0</v>
      </c>
      <c r="AG51" s="206">
        <f>IF(OR($Z51="",$O51=""),0,$Z51*10%)</f>
        <v>0</v>
      </c>
      <c r="AH51" s="206">
        <f>IF($Z51="",0,IF(AND($P51="",$Q51=""),($Z51-$AE51-$AF51-$AG51-$AJ51-$AK51-$AL51-$AM51),IF($P51="",0,IF($Q51="",($Z51-$AE51-$AF51-$AG51-$AJ51-$AK51-$AL51-$AM51),($Z51-$AE51-$AF51-$AG51-$AJ51-$AK51-$AL51-$AM51)-$AI51))))</f>
        <v>0</v>
      </c>
      <c r="AI51" s="206">
        <f>IF($Z51="",0,IF(AND($P51="",$Q51=""),0,IF($Q51="",0,IF($P51="",($Z51-$AE51-$AF51-$AG51-$AJ51-$AK51-$AL51-$AM51),($Z51-$AE51-$AF51-$AG51-$AJ51-$AK51-$AL51-$AM51)*15%/(50%+15%)))))</f>
        <v>0</v>
      </c>
      <c r="AJ51" s="206">
        <f>IF($Z51="",0,IF($R51="",0,$R51))</f>
        <v>0</v>
      </c>
      <c r="AK51" s="206">
        <f>IF(OR($Z51="",$S51=""),0,$Z51*10%)</f>
        <v>0</v>
      </c>
      <c r="AL51" s="206">
        <f>IF(OR($Z51="",$T51=""),0,$Z51*10%)</f>
        <v>0</v>
      </c>
      <c r="AM51" s="206">
        <f>IF($Z51="",0,IF($U51="",0,$U51))</f>
        <v>0</v>
      </c>
      <c r="AN51" s="59">
        <f>SUM(AE51:AM51)</f>
        <v>0</v>
      </c>
    </row>
    <row r="52" spans="1:41" ht="15">
      <c r="A52" s="1">
        <v>50</v>
      </c>
      <c r="B52" s="266"/>
      <c r="C52" s="233" t="s">
        <v>165</v>
      </c>
      <c r="D52" s="55" t="s">
        <v>166</v>
      </c>
      <c r="E52" s="55"/>
      <c r="F52" s="1" t="s">
        <v>63</v>
      </c>
      <c r="G52" s="1"/>
      <c r="H52" s="49">
        <v>3</v>
      </c>
      <c r="I52" s="25"/>
      <c r="J52" s="25"/>
      <c r="K52" s="25">
        <v>3</v>
      </c>
      <c r="L52" s="25" t="s">
        <v>67</v>
      </c>
      <c r="M52" s="25"/>
      <c r="N52" s="25"/>
      <c r="O52" s="25"/>
      <c r="P52" s="25"/>
      <c r="Q52" s="25"/>
      <c r="R52" s="25"/>
      <c r="S52" s="25"/>
      <c r="T52" s="25"/>
      <c r="U52" s="25"/>
      <c r="V52" s="48">
        <f t="shared" si="0"/>
        <v>0</v>
      </c>
      <c r="W52" s="175">
        <f t="shared" si="1"/>
        <v>0</v>
      </c>
      <c r="X52" s="175">
        <f t="shared" si="2"/>
        <v>0</v>
      </c>
      <c r="Y52" s="181">
        <f t="shared" si="3"/>
        <v>0</v>
      </c>
      <c r="Z52" s="207">
        <f t="shared" si="4"/>
        <v>0</v>
      </c>
      <c r="AA52" s="185"/>
      <c r="AB52" s="185"/>
      <c r="AC52" s="185"/>
      <c r="AD52" s="185"/>
      <c r="AE52" s="206">
        <f>IF($Z52="",0,IF($M52="",0,$M52))</f>
        <v>0</v>
      </c>
      <c r="AF52" s="206">
        <f>IF(OR($Z52="",$N52=""),0,$Z52*5%)</f>
        <v>0</v>
      </c>
      <c r="AG52" s="206">
        <f>IF(OR($Z52="",$O52=""),0,$Z52*10%)</f>
        <v>0</v>
      </c>
      <c r="AH52" s="206">
        <f>IF($Z52="",0,IF(AND($P52="",$Q52=""),($Z52-$AE52-$AF52-$AG52-$AJ52-$AK52-$AL52-$AM52),IF($P52="",0,IF($Q52="",($Z52-$AE52-$AF52-$AG52-$AJ52-$AK52-$AL52-$AM52),($Z52-$AE52-$AF52-$AG52-$AJ52-$AK52-$AL52-$AM52)-$AI52))))</f>
        <v>0</v>
      </c>
      <c r="AI52" s="206">
        <f>IF($Z52="",0,IF(AND($P52="",$Q52=""),0,IF($Q52="",0,IF($P52="",($Z52-$AE52-$AF52-$AG52-$AJ52-$AK52-$AL52-$AM52),($Z52-$AE52-$AF52-$AG52-$AJ52-$AK52-$AL52-$AM52)*15%/(50%+15%)))))</f>
        <v>0</v>
      </c>
      <c r="AJ52" s="206">
        <f>IF($Z52="",0,IF($R52="",0,$R52))</f>
        <v>0</v>
      </c>
      <c r="AK52" s="206">
        <f>IF(OR($Z52="",$S52=""),0,$Z52*10%)</f>
        <v>0</v>
      </c>
      <c r="AL52" s="206">
        <f>IF(OR($Z52="",$T52=""),0,$Z52*10%)</f>
        <v>0</v>
      </c>
      <c r="AM52" s="206">
        <f>IF($Z52="",0,IF($U52="",0,$U52))</f>
        <v>0</v>
      </c>
      <c r="AN52" s="59">
        <f>SUM(AE52:AM52)</f>
        <v>0</v>
      </c>
      <c r="AO52" t="s">
        <v>167</v>
      </c>
    </row>
    <row r="53" spans="1:41" ht="15">
      <c r="M53" s="25"/>
      <c r="N53" s="25"/>
      <c r="O53" s="25"/>
      <c r="P53" s="25"/>
      <c r="Q53" s="25"/>
      <c r="R53" s="25"/>
      <c r="S53" s="25"/>
      <c r="T53" s="25"/>
      <c r="V53" s="132">
        <f>SUM(V3:V52)*Settings!I2</f>
        <v>0</v>
      </c>
      <c r="W53" s="182">
        <f>SUM(W3:W52)*Settings!I2</f>
        <v>0</v>
      </c>
      <c r="X53" s="182">
        <f>SUM(X3:X52)*Settings!I2</f>
        <v>0</v>
      </c>
      <c r="Y53" s="183">
        <f>SUM(Y3:Y52)*Settings!I2</f>
        <v>0</v>
      </c>
      <c r="Z53" s="183">
        <f>SUM(Z3:Z52)*Settings!I2</f>
        <v>0</v>
      </c>
      <c r="AA53" s="174"/>
      <c r="AB53" s="174"/>
      <c r="AC53" s="174"/>
      <c r="AD53" s="174"/>
      <c r="AE53" s="182">
        <f>SUM(AE3:AE52)</f>
        <v>20</v>
      </c>
      <c r="AF53" s="182">
        <f t="shared" ref="AF53:AM53" si="9">SUM(AF3:AF52)</f>
        <v>4.2645833333333334</v>
      </c>
      <c r="AG53" s="182">
        <f t="shared" si="9"/>
        <v>29.085416666666674</v>
      </c>
      <c r="AH53" s="182">
        <f t="shared" si="9"/>
        <v>134.08974358974359</v>
      </c>
      <c r="AI53" s="182">
        <f t="shared" si="9"/>
        <v>28.12692307692307</v>
      </c>
      <c r="AJ53" s="182">
        <f t="shared" si="9"/>
        <v>38</v>
      </c>
      <c r="AK53" s="182">
        <f t="shared" si="9"/>
        <v>22.137500000000003</v>
      </c>
      <c r="AL53" s="182">
        <f t="shared" si="9"/>
        <v>29.420833333333341</v>
      </c>
      <c r="AM53" s="182">
        <f t="shared" si="9"/>
        <v>83</v>
      </c>
      <c r="AN53" s="59"/>
    </row>
  </sheetData>
  <mergeCells count="18">
    <mergeCell ref="W1:AM1"/>
    <mergeCell ref="A1:D1"/>
    <mergeCell ref="C29:C30"/>
    <mergeCell ref="C31:C35"/>
    <mergeCell ref="M1:V1"/>
    <mergeCell ref="B50:B52"/>
    <mergeCell ref="B3:B9"/>
    <mergeCell ref="C3:C4"/>
    <mergeCell ref="B11:B42"/>
    <mergeCell ref="C11:C22"/>
    <mergeCell ref="C23:C25"/>
    <mergeCell ref="C26:C27"/>
    <mergeCell ref="C7:C9"/>
    <mergeCell ref="C41:C42"/>
    <mergeCell ref="C50:C51"/>
    <mergeCell ref="C43:C44"/>
    <mergeCell ref="C38:C39"/>
    <mergeCell ref="B43:B49"/>
  </mergeCells>
  <hyperlinks>
    <hyperlink ref="E3" r:id="rId1" xr:uid="{C0E1CBDC-787D-42F6-AAF3-314B769E8FB4}"/>
    <hyperlink ref="E7" r:id="rId2" xr:uid="{10844207-0AA8-4ABE-A2E8-717B06846554}"/>
    <hyperlink ref="E8" r:id="rId3" xr:uid="{82E5763B-B711-4C8C-8E9E-8B31D63AAEBC}"/>
    <hyperlink ref="E9" r:id="rId4" xr:uid="{FD3FE43B-1ADB-45CF-92DF-F5FF3BA7FCA8}"/>
    <hyperlink ref="E19" r:id="rId5" xr:uid="{BBAD8099-0991-4FCE-84C5-514DD7A882E8}"/>
    <hyperlink ref="E20" r:id="rId6" xr:uid="{02573778-2ACA-4A04-A9A6-8E82D21952FC}"/>
    <hyperlink ref="E28" r:id="rId7" xr:uid="{BD456A35-8BCC-4539-86ED-60934413E544}"/>
    <hyperlink ref="E48" r:id="rId8" xr:uid="{7F33A583-8D5C-48F7-B760-25558EAE72EA}"/>
    <hyperlink ref="E49" r:id="rId9" xr:uid="{37CEF3C0-2EDD-4D60-8B58-A521329CAD71}"/>
    <hyperlink ref="E45" r:id="rId10" xr:uid="{11BD1E37-37C2-4552-AD93-0EB3862A9575}"/>
    <hyperlink ref="E10" r:id="rId11" xr:uid="{15849B38-16FF-45CE-93A8-CCEC8433752B}"/>
    <hyperlink ref="E31" r:id="rId12" xr:uid="{00F0FDC5-42A5-4CB5-B2B7-623EA51D1FC4}"/>
    <hyperlink ref="E32" r:id="rId13" xr:uid="{9A109494-8F68-4744-A379-589BA303F0C4}"/>
    <hyperlink ref="E33" r:id="rId14" xr:uid="{499F5366-6CF7-4F39-A5AD-6D8932A51965}"/>
    <hyperlink ref="E34" r:id="rId15" xr:uid="{371C1FCB-EF81-4858-AB2D-783DA5591025}"/>
    <hyperlink ref="E35" r:id="rId16" xr:uid="{1E635A6B-2493-43F3-8979-E0AB77993FD6}"/>
    <hyperlink ref="E36" r:id="rId17" xr:uid="{87436754-3C39-4921-A8FC-CF56780ACACF}"/>
  </hyperlinks>
  <pageMargins left="0.7" right="0.7" top="0.75" bottom="0.75" header="0.3" footer="0.3"/>
  <pageSetup paperSize="9" orientation="portrait" r:id="rId1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85951-A406-4B54-9639-B57EFB080BFB}">
  <dimension ref="B1:D6"/>
  <sheetViews>
    <sheetView workbookViewId="0">
      <selection activeCell="B16" sqref="B16"/>
    </sheetView>
  </sheetViews>
  <sheetFormatPr defaultRowHeight="14.45"/>
  <cols>
    <col min="2" max="2" width="15.5703125" customWidth="1"/>
    <col min="3" max="3" width="11" customWidth="1"/>
    <col min="4" max="4" width="12.140625" customWidth="1"/>
  </cols>
  <sheetData>
    <row r="1" spans="2:4">
      <c r="C1" t="s">
        <v>168</v>
      </c>
    </row>
    <row r="2" spans="2:4">
      <c r="B2" t="s">
        <v>169</v>
      </c>
      <c r="C2">
        <v>20</v>
      </c>
      <c r="D2">
        <f>C2*3</f>
        <v>60</v>
      </c>
    </row>
    <row r="3" spans="2:4">
      <c r="B3" s="37">
        <v>0.3</v>
      </c>
      <c r="C3">
        <f>C2*1.3</f>
        <v>26</v>
      </c>
      <c r="D3">
        <f>C3</f>
        <v>26</v>
      </c>
    </row>
    <row r="4" spans="2:4">
      <c r="C4">
        <f>C2/1.5</f>
        <v>13.333333333333334</v>
      </c>
      <c r="D4">
        <f>C4</f>
        <v>13.333333333333334</v>
      </c>
    </row>
    <row r="5" spans="2:4">
      <c r="D5">
        <f>SUM(D2:D4)</f>
        <v>99.333333333333329</v>
      </c>
    </row>
    <row r="6" spans="2:4">
      <c r="D6">
        <f>D5/6</f>
        <v>16.555555555555554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A7938-95CA-46C0-AAF0-AD4376269192}">
  <sheetPr filterMode="1"/>
  <dimension ref="A1:AO60"/>
  <sheetViews>
    <sheetView zoomScaleNormal="100" workbookViewId="0">
      <pane xSplit="5" ySplit="2" topLeftCell="F3" activePane="bottomRight" state="frozen"/>
      <selection pane="bottomRight" activeCell="E4" sqref="E4:E10"/>
      <selection pane="bottomLeft" activeCell="A3" sqref="A3"/>
      <selection pane="topRight" activeCell="G1" sqref="G1"/>
    </sheetView>
  </sheetViews>
  <sheetFormatPr defaultRowHeight="18" customHeight="1"/>
  <cols>
    <col min="1" max="1" width="4.42578125" bestFit="1" customWidth="1"/>
    <col min="2" max="2" width="14.28515625" bestFit="1" customWidth="1"/>
    <col min="3" max="3" width="15" bestFit="1" customWidth="1"/>
    <col min="4" max="4" width="49.5703125" style="57" customWidth="1"/>
    <col min="5" max="5" width="19.140625" style="57" customWidth="1"/>
    <col min="6" max="6" width="11.7109375" bestFit="1" customWidth="1"/>
    <col min="7" max="7" width="6" hidden="1" customWidth="1"/>
    <col min="8" max="11" width="7.28515625" bestFit="1" customWidth="1"/>
    <col min="12" max="12" width="10.42578125" bestFit="1" customWidth="1"/>
    <col min="13" max="13" width="9.85546875" bestFit="1" customWidth="1"/>
    <col min="14" max="15" width="6.42578125" bestFit="1" customWidth="1"/>
    <col min="16" max="16" width="4.28515625" bestFit="1" customWidth="1"/>
    <col min="17" max="17" width="4.140625" customWidth="1"/>
    <col min="18" max="18" width="7.7109375" bestFit="1" customWidth="1"/>
    <col min="19" max="19" width="4.28515625" bestFit="1" customWidth="1"/>
    <col min="20" max="20" width="8.28515625" bestFit="1" customWidth="1"/>
    <col min="21" max="21" width="7.7109375" bestFit="1" customWidth="1"/>
    <col min="22" max="22" width="9.28515625" style="62" bestFit="1" customWidth="1"/>
    <col min="23" max="23" width="15.28515625" bestFit="1" customWidth="1"/>
    <col min="24" max="24" width="16" bestFit="1" customWidth="1"/>
    <col min="25" max="25" width="11" style="73" bestFit="1" customWidth="1"/>
    <col min="26" max="30" width="11" style="73" customWidth="1"/>
    <col min="31" max="31" width="14.28515625" bestFit="1" customWidth="1"/>
    <col min="32" max="32" width="10.7109375" bestFit="1" customWidth="1"/>
    <col min="33" max="33" width="11.7109375" bestFit="1" customWidth="1"/>
    <col min="34" max="34" width="9.5703125" bestFit="1" customWidth="1"/>
    <col min="35" max="35" width="9.85546875" bestFit="1" customWidth="1"/>
    <col min="36" max="36" width="11.85546875" bestFit="1" customWidth="1"/>
    <col min="37" max="37" width="8.42578125" bestFit="1" customWidth="1"/>
    <col min="38" max="38" width="12.42578125" bestFit="1" customWidth="1"/>
    <col min="39" max="39" width="12.140625" bestFit="1" customWidth="1"/>
    <col min="41" max="41" width="95.42578125" bestFit="1" customWidth="1"/>
  </cols>
  <sheetData>
    <row r="1" spans="1:39" ht="18" customHeight="1">
      <c r="A1" s="288" t="s">
        <v>170</v>
      </c>
      <c r="B1" s="289"/>
      <c r="C1" s="289"/>
      <c r="D1" s="289"/>
      <c r="E1" s="239"/>
      <c r="F1" s="103"/>
      <c r="G1" s="7"/>
      <c r="H1" s="45" t="s">
        <v>20</v>
      </c>
      <c r="I1" s="45" t="s">
        <v>21</v>
      </c>
      <c r="J1" s="45" t="s">
        <v>22</v>
      </c>
      <c r="K1" s="45" t="s">
        <v>23</v>
      </c>
      <c r="L1" s="44"/>
      <c r="M1" s="286" t="s">
        <v>24</v>
      </c>
      <c r="N1" s="286"/>
      <c r="O1" s="286"/>
      <c r="P1" s="286"/>
      <c r="Q1" s="286"/>
      <c r="R1" s="286"/>
      <c r="S1" s="286"/>
      <c r="T1" s="286"/>
      <c r="U1" s="286"/>
      <c r="V1" s="287"/>
      <c r="W1" s="283" t="s">
        <v>25</v>
      </c>
      <c r="X1" s="284"/>
      <c r="Y1" s="284"/>
      <c r="Z1" s="284"/>
      <c r="AA1" s="284"/>
      <c r="AB1" s="284"/>
      <c r="AC1" s="284"/>
      <c r="AD1" s="284"/>
      <c r="AE1" s="284"/>
      <c r="AF1" s="284"/>
      <c r="AG1" s="284"/>
      <c r="AH1" s="284"/>
      <c r="AI1" s="284"/>
      <c r="AJ1" s="284"/>
      <c r="AK1" s="284"/>
      <c r="AL1" s="284"/>
      <c r="AM1" s="284"/>
    </row>
    <row r="2" spans="1:39" ht="18" customHeight="1">
      <c r="A2" s="87" t="s">
        <v>27</v>
      </c>
      <c r="B2" s="77" t="s">
        <v>28</v>
      </c>
      <c r="C2" s="78" t="s">
        <v>29</v>
      </c>
      <c r="D2" s="95" t="s">
        <v>30</v>
      </c>
      <c r="E2" s="240" t="s">
        <v>171</v>
      </c>
      <c r="F2" s="88" t="s">
        <v>32</v>
      </c>
      <c r="G2" s="93" t="s">
        <v>33</v>
      </c>
      <c r="H2" s="79" t="s">
        <v>34</v>
      </c>
      <c r="I2" s="79" t="s">
        <v>34</v>
      </c>
      <c r="J2" s="79" t="s">
        <v>34</v>
      </c>
      <c r="K2" s="79" t="s">
        <v>34</v>
      </c>
      <c r="L2" s="79" t="s">
        <v>35</v>
      </c>
      <c r="M2" s="75" t="s">
        <v>36</v>
      </c>
      <c r="N2" s="75" t="s">
        <v>37</v>
      </c>
      <c r="O2" s="75" t="s">
        <v>38</v>
      </c>
      <c r="P2" s="75" t="s">
        <v>39</v>
      </c>
      <c r="Q2" s="75" t="s">
        <v>40</v>
      </c>
      <c r="R2" s="75" t="s">
        <v>41</v>
      </c>
      <c r="S2" s="75" t="s">
        <v>42</v>
      </c>
      <c r="T2" s="75" t="s">
        <v>43</v>
      </c>
      <c r="U2" s="75" t="s">
        <v>44</v>
      </c>
      <c r="V2" s="75" t="s">
        <v>45</v>
      </c>
      <c r="W2" s="41" t="str">
        <f>"Optimistic ("&amp;Summary!E7&amp;")"</f>
        <v>Optimistic (50%)</v>
      </c>
      <c r="X2" s="41" t="s">
        <v>46</v>
      </c>
      <c r="Y2" s="80" t="s">
        <v>47</v>
      </c>
      <c r="Z2" s="170" t="s">
        <v>48</v>
      </c>
      <c r="AA2" s="172" t="s">
        <v>49</v>
      </c>
      <c r="AB2" s="172" t="s">
        <v>50</v>
      </c>
      <c r="AC2" s="172" t="s">
        <v>51</v>
      </c>
      <c r="AD2" s="172" t="s">
        <v>52</v>
      </c>
      <c r="AE2" s="209" t="s">
        <v>36</v>
      </c>
      <c r="AF2" s="81" t="s">
        <v>53</v>
      </c>
      <c r="AG2" s="81" t="s">
        <v>54</v>
      </c>
      <c r="AH2" s="81" t="s">
        <v>55</v>
      </c>
      <c r="AI2" s="81" t="s">
        <v>56</v>
      </c>
      <c r="AJ2" s="209" t="s">
        <v>41</v>
      </c>
      <c r="AK2" s="81" t="s">
        <v>57</v>
      </c>
      <c r="AL2" s="81" t="s">
        <v>58</v>
      </c>
      <c r="AM2" s="209" t="s">
        <v>44</v>
      </c>
    </row>
    <row r="3" spans="1:39" ht="18" customHeight="1">
      <c r="A3" s="89">
        <v>1</v>
      </c>
      <c r="B3" s="291" t="s">
        <v>59</v>
      </c>
      <c r="C3" s="291" t="s">
        <v>172</v>
      </c>
      <c r="D3" s="110" t="s">
        <v>173</v>
      </c>
      <c r="E3" s="241"/>
      <c r="F3" s="90" t="s">
        <v>174</v>
      </c>
      <c r="G3" s="94"/>
      <c r="H3" s="74"/>
      <c r="I3" s="74"/>
      <c r="J3" s="74"/>
      <c r="K3" s="74"/>
      <c r="L3" s="74"/>
      <c r="M3" s="82"/>
      <c r="N3" s="82">
        <v>2</v>
      </c>
      <c r="O3" s="82">
        <v>1</v>
      </c>
      <c r="P3" s="82">
        <v>5</v>
      </c>
      <c r="Q3" s="82">
        <v>0</v>
      </c>
      <c r="R3" s="82"/>
      <c r="S3" s="82">
        <v>0</v>
      </c>
      <c r="T3" s="82"/>
      <c r="U3" s="82">
        <v>2</v>
      </c>
      <c r="V3" s="83">
        <f>SUM(M3:U3)</f>
        <v>10</v>
      </c>
      <c r="W3" s="42">
        <f>V3 - (V3 * (SUBSTITUTE(SUBSTITUTE($W$2, "Optimistic (", ""), "%)", "") / 100))</f>
        <v>5</v>
      </c>
      <c r="X3" s="42">
        <f>V3 + (V3 * (SUBSTITUTE(SUBSTITUTE($X$2, "Pessimistic (", ""), "%)", "") / 100))</f>
        <v>11</v>
      </c>
      <c r="Y3" s="84">
        <f>(W3+(4*V3)+X3)/6</f>
        <v>9.3333333333333339</v>
      </c>
      <c r="Z3" s="174">
        <f>Y3/2</f>
        <v>4.666666666666667</v>
      </c>
      <c r="AA3" s="186"/>
      <c r="AB3" s="186"/>
      <c r="AC3" s="186"/>
      <c r="AD3" s="187"/>
      <c r="AE3" s="206">
        <f>IF($Z3="",0,IF($M3="",0,$M3))</f>
        <v>0</v>
      </c>
      <c r="AF3" s="206">
        <f>IF(OR($Z3="",$N3=""),0,$Z3*5%)</f>
        <v>0.23333333333333336</v>
      </c>
      <c r="AG3" s="206">
        <f>IF(OR($Z3="",$O3=""),0,$Z3*10%)</f>
        <v>0.46666666666666673</v>
      </c>
      <c r="AH3" s="206">
        <f>IF($Z3="",0,IF(AND($P3="",$Q3=""),($Z3-$AE3-$AF3-$AG3-$AJ3-$AK3-$AL3-$AM3),IF($P3="",0,IF($Q3="",($Z3-$AE3-$AF3-$AG3-$AJ3-$AK3-$AL3-$AM3),($Z3-$AE3-$AF3-$AG3-$AJ3-$AK3-$AL3-$AM3)-$AI3))))</f>
        <v>1.153846153846154</v>
      </c>
      <c r="AI3" s="206">
        <f>IF($Z3="",0,IF(AND($P3="",$Q3=""),0,IF($Q3="",0,IF($P3="",($Z3-$AE3-$AF3-$AG3-$AJ3-$AK3-$AL3-$AM3),($Z3-$AE3-$AF3-$AG3-$AJ3-$AK3-$AL3-$AM3)*15%/(50%+15%)))))</f>
        <v>0.34615384615384609</v>
      </c>
      <c r="AJ3" s="206">
        <f>IF($Z3="",0,IF($R3="",0,$R3))</f>
        <v>0</v>
      </c>
      <c r="AK3" s="206">
        <f>IF(OR($Z3="",$S3=""),0,$Z3*10%)</f>
        <v>0.46666666666666673</v>
      </c>
      <c r="AL3" s="206">
        <f>IF(OR($Z3="",$T3=""),0,$Z3*10%)</f>
        <v>0</v>
      </c>
      <c r="AM3" s="206">
        <f>IF($Z3="",0,IF($U3="",0,$U3))</f>
        <v>2</v>
      </c>
    </row>
    <row r="4" spans="1:39" ht="18" customHeight="1">
      <c r="A4" s="89">
        <f>IF(D4="","",A3+1)</f>
        <v>2</v>
      </c>
      <c r="B4" s="292"/>
      <c r="C4" s="292"/>
      <c r="D4" s="110" t="s">
        <v>175</v>
      </c>
      <c r="E4" s="241"/>
      <c r="F4" s="90" t="s">
        <v>174</v>
      </c>
      <c r="G4" s="94"/>
      <c r="H4" s="74"/>
      <c r="I4" s="74"/>
      <c r="J4" s="74"/>
      <c r="K4" s="74"/>
      <c r="L4" s="74"/>
      <c r="M4" s="82"/>
      <c r="N4" s="82"/>
      <c r="O4" s="82">
        <v>5</v>
      </c>
      <c r="P4" s="82">
        <v>48</v>
      </c>
      <c r="Q4" s="82">
        <v>15</v>
      </c>
      <c r="R4" s="82"/>
      <c r="S4" s="82"/>
      <c r="T4" s="82"/>
      <c r="U4" s="82">
        <v>2</v>
      </c>
      <c r="V4" s="83">
        <f t="shared" ref="V4:V54" si="0">SUM(M4:U4)</f>
        <v>70</v>
      </c>
      <c r="W4" s="42">
        <f>V4 - (V4 * (SUBSTITUTE(SUBSTITUTE($W$2, "Optimistic (", ""), "%)", "") / 100))</f>
        <v>35</v>
      </c>
      <c r="X4" s="42">
        <f>V4 + (V4 * (SUBSTITUTE(SUBSTITUTE($X$2, "Pessimistic (", ""), "%)", "") / 100))</f>
        <v>77</v>
      </c>
      <c r="Y4" s="84">
        <f t="shared" ref="Y4:Y35" si="1">(W4+(4*V4)+X4)/6</f>
        <v>65.333333333333329</v>
      </c>
      <c r="Z4" s="174">
        <f t="shared" ref="Z4:Z55" si="2">Y4/2</f>
        <v>32.666666666666664</v>
      </c>
      <c r="AA4" s="186"/>
      <c r="AB4" s="186"/>
      <c r="AC4" s="186"/>
      <c r="AD4" s="187"/>
      <c r="AE4" s="206">
        <f>IF($Z4="",0,IF($M4="",0,$M4))</f>
        <v>0</v>
      </c>
      <c r="AF4" s="206">
        <f>IF(OR($Z4="",$N4=""),0,$Z4*5%)</f>
        <v>0</v>
      </c>
      <c r="AG4" s="206">
        <f>IF(OR($Z4="",$O4=""),0,$Z4*10%)</f>
        <v>3.2666666666666666</v>
      </c>
      <c r="AH4" s="206">
        <f>IF($Z4="",0,IF(AND($P4="",$Q4=""),($Z4-$AE4-$AF4-$AG4-$AJ4-$AK4-$AL4-$AM4),IF($P4="",0,IF($Q4="",($Z4-$AE4-$AF4-$AG4-$AJ4-$AK4-$AL4-$AM4),($Z4-$AE4-$AF4-$AG4-$AJ4-$AK4-$AL4-$AM4)-$AI4))))</f>
        <v>21.076923076923077</v>
      </c>
      <c r="AI4" s="206">
        <f>IF($Z4="",0,IF(AND($P4="",$Q4=""),0,IF($Q4="",0,IF($P4="",($Z4-$AE4-$AF4-$AG4-$AJ4-$AK4-$AL4-$AM4),($Z4-$AE4-$AF4-$AG4-$AJ4-$AK4-$AL4-$AM4)*15%/(50%+15%)))))</f>
        <v>6.3230769230769219</v>
      </c>
      <c r="AJ4" s="206">
        <f>IF($Z4="",0,IF($R4="",0,$R4))</f>
        <v>0</v>
      </c>
      <c r="AK4" s="206">
        <f>IF(OR($Z4="",$S4=""),0,$Z4*10%)</f>
        <v>0</v>
      </c>
      <c r="AL4" s="206">
        <f>IF(OR($Z4="",$T4=""),0,$Z4*10%)</f>
        <v>0</v>
      </c>
      <c r="AM4" s="206">
        <f>IF($Z4="",0,IF($U4="",0,$U4))</f>
        <v>2</v>
      </c>
    </row>
    <row r="5" spans="1:39" ht="18" hidden="1" customHeight="1">
      <c r="A5" s="89"/>
      <c r="B5" s="293"/>
      <c r="C5" s="293"/>
      <c r="D5" s="110" t="s">
        <v>176</v>
      </c>
      <c r="E5" s="241"/>
      <c r="F5" s="90" t="s">
        <v>63</v>
      </c>
      <c r="G5" s="94"/>
      <c r="H5" s="74"/>
      <c r="I5" s="74"/>
      <c r="J5" s="74"/>
      <c r="K5" s="74"/>
      <c r="L5" s="74"/>
      <c r="M5" s="82"/>
      <c r="N5" s="82">
        <v>0</v>
      </c>
      <c r="O5" s="82">
        <v>0</v>
      </c>
      <c r="P5" s="82">
        <v>23</v>
      </c>
      <c r="Q5" s="82">
        <v>15</v>
      </c>
      <c r="R5" s="82"/>
      <c r="S5" s="82">
        <v>5</v>
      </c>
      <c r="T5" s="82">
        <v>15</v>
      </c>
      <c r="U5" s="82">
        <v>2</v>
      </c>
      <c r="V5" s="83">
        <f>SUM(M5:U5)</f>
        <v>60</v>
      </c>
      <c r="W5" s="42">
        <f>V5 - (V5 * (SUBSTITUTE(SUBSTITUTE($W$2, "Optimistic (", ""), "%)", "") / 100))</f>
        <v>30</v>
      </c>
      <c r="X5" s="42">
        <f>V5 + (V5 * (SUBSTITUTE(SUBSTITUTE($X$2, "Pessimistic (", ""), "%)", "") / 100))</f>
        <v>66</v>
      </c>
      <c r="Y5" s="84">
        <f>(W5+(4*V5)+X5)/6</f>
        <v>56</v>
      </c>
      <c r="Z5" s="174">
        <f>Y5/2</f>
        <v>28</v>
      </c>
      <c r="AA5" s="185">
        <v>46111</v>
      </c>
      <c r="AB5" s="185">
        <v>46126</v>
      </c>
      <c r="AC5" s="185">
        <v>46127</v>
      </c>
      <c r="AD5" s="185">
        <v>46148</v>
      </c>
      <c r="AE5" s="206">
        <f>IF($Z5="",0,IF($M5="",0,$M5))</f>
        <v>0</v>
      </c>
      <c r="AF5" s="206">
        <f>IF(OR($Z5="",$N5=""),0,$Z5*5%)</f>
        <v>1.4000000000000001</v>
      </c>
      <c r="AG5" s="206">
        <f>IF(OR($Z5="",$O5=""),0,$Z5*10%)</f>
        <v>2.8000000000000003</v>
      </c>
      <c r="AH5" s="206">
        <f>IF($Z5="",0,IF(AND($P5="",$Q5=""),($Z5-$AE5-$AF5-$AG5-$AJ5-$AK5-$AL5-$AM5),IF($P5="",0,IF($Q5="",($Z5-$AE5-$AF5-$AG5-$AJ5-$AK5-$AL5-$AM5),($Z5-$AE5-$AF5-$AG5-$AJ5-$AK5-$AL5-$AM5)-$AI5))))</f>
        <v>12.461538461538462</v>
      </c>
      <c r="AI5" s="206">
        <f>IF($Z5="",0,IF(AND($P5="",$Q5=""),0,IF($Q5="",0,IF($P5="",($Z5-$AE5-$AF5-$AG5-$AJ5-$AK5-$AL5-$AM5),($Z5-$AE5-$AF5-$AG5-$AJ5-$AK5-$AL5-$AM5)*15%/(50%+15%)))))</f>
        <v>3.7384615384615381</v>
      </c>
      <c r="AJ5" s="206">
        <f>IF($Z5="",0,IF($R5="",0,$R5))</f>
        <v>0</v>
      </c>
      <c r="AK5" s="206">
        <f>IF(OR($Z5="",$S5=""),0,$Z5*10%)</f>
        <v>2.8000000000000003</v>
      </c>
      <c r="AL5" s="206">
        <f>IF(OR($Z5="",$T5=""),0,$Z5*10%)</f>
        <v>2.8000000000000003</v>
      </c>
      <c r="AM5" s="206">
        <f>IF($Z5="",0,IF($U5="",0,$U5))</f>
        <v>2</v>
      </c>
    </row>
    <row r="6" spans="1:39" ht="18" customHeight="1">
      <c r="A6" s="89">
        <f>IF(D6="","",A4+1)</f>
        <v>3</v>
      </c>
      <c r="B6" s="285" t="s">
        <v>83</v>
      </c>
      <c r="C6" s="285" t="s">
        <v>177</v>
      </c>
      <c r="D6" s="111" t="s">
        <v>178</v>
      </c>
      <c r="E6" s="242"/>
      <c r="F6" s="90" t="s">
        <v>174</v>
      </c>
      <c r="G6" s="94"/>
      <c r="H6" s="74"/>
      <c r="I6" s="74"/>
      <c r="J6" s="74"/>
      <c r="K6" s="74"/>
      <c r="L6" s="74"/>
      <c r="M6" s="82"/>
      <c r="N6" s="82"/>
      <c r="O6" s="82">
        <v>15</v>
      </c>
      <c r="P6" s="82">
        <v>32</v>
      </c>
      <c r="Q6" s="82">
        <v>7</v>
      </c>
      <c r="R6" s="82"/>
      <c r="S6" s="82">
        <v>4</v>
      </c>
      <c r="T6" s="82">
        <v>6</v>
      </c>
      <c r="U6" s="82">
        <v>2</v>
      </c>
      <c r="V6" s="83">
        <f t="shared" si="0"/>
        <v>66</v>
      </c>
      <c r="W6" s="42">
        <f t="shared" ref="W6:W55" si="3">V6 - (V6 * (SUBSTITUTE(SUBSTITUTE($W$2, "Optimistic (", ""), "%)", "") / 100))</f>
        <v>33</v>
      </c>
      <c r="X6" s="42">
        <f>V6 + (V6 * (SUBSTITUTE(SUBSTITUTE($X$2, "Pessimistic (", ""), "%)", "") / 100))</f>
        <v>72.599999999999994</v>
      </c>
      <c r="Y6" s="84">
        <f t="shared" si="1"/>
        <v>61.6</v>
      </c>
      <c r="Z6" s="174">
        <f t="shared" si="2"/>
        <v>30.8</v>
      </c>
      <c r="AA6" s="186"/>
      <c r="AB6" s="186"/>
      <c r="AC6" s="186"/>
      <c r="AD6" s="187"/>
      <c r="AE6" s="206">
        <f>IF($Z6="",0,IF($M6="",0,$M6))</f>
        <v>0</v>
      </c>
      <c r="AF6" s="206">
        <f>IF(OR($Z6="",$N6=""),0,$Z6*5%)</f>
        <v>0</v>
      </c>
      <c r="AG6" s="206">
        <f>IF(OR($Z6="",$O6=""),0,$Z6*10%)</f>
        <v>3.08</v>
      </c>
      <c r="AH6" s="206">
        <f>IF($Z6="",0,IF(AND($P6="",$Q6=""),($Z6-$AE6-$AF6-$AG6-$AJ6-$AK6-$AL6-$AM6),IF($P6="",0,IF($Q6="",($Z6-$AE6-$AF6-$AG6-$AJ6-$AK6-$AL6-$AM6),($Z6-$AE6-$AF6-$AG6-$AJ6-$AK6-$AL6-$AM6)-$AI6))))</f>
        <v>15.04615384615385</v>
      </c>
      <c r="AI6" s="206">
        <f>IF($Z6="",0,IF(AND($P6="",$Q6=""),0,IF($Q6="",0,IF($P6="",($Z6-$AE6-$AF6-$AG6-$AJ6-$AK6-$AL6-$AM6),($Z6-$AE6-$AF6-$AG6-$AJ6-$AK6-$AL6-$AM6)*15%/(50%+15%)))))</f>
        <v>4.5138461538461536</v>
      </c>
      <c r="AJ6" s="206">
        <f>IF($Z6="",0,IF($R6="",0,$R6))</f>
        <v>0</v>
      </c>
      <c r="AK6" s="206">
        <f>IF(OR($Z6="",$S6=""),0,$Z6*10%)</f>
        <v>3.08</v>
      </c>
      <c r="AL6" s="206">
        <f>IF(OR($Z6="",$T6=""),0,$Z6*10%)</f>
        <v>3.08</v>
      </c>
      <c r="AM6" s="206">
        <f>IF($Z6="",0,IF($U6="",0,$U6))</f>
        <v>2</v>
      </c>
    </row>
    <row r="7" spans="1:39" ht="18" customHeight="1">
      <c r="A7" s="89">
        <f t="shared" ref="A7:A55" si="4">IF(D7="","",A6+1)</f>
        <v>4</v>
      </c>
      <c r="B7" s="285"/>
      <c r="C7" s="285"/>
      <c r="D7" s="99" t="s">
        <v>179</v>
      </c>
      <c r="E7" s="243"/>
      <c r="F7" s="90" t="s">
        <v>174</v>
      </c>
      <c r="G7" s="94"/>
      <c r="H7" s="74"/>
      <c r="I7" s="74"/>
      <c r="J7" s="74"/>
      <c r="K7" s="74"/>
      <c r="L7" s="74"/>
      <c r="M7" s="82"/>
      <c r="N7" s="82"/>
      <c r="O7" s="82">
        <v>3</v>
      </c>
      <c r="P7" s="82">
        <v>5</v>
      </c>
      <c r="Q7" s="82">
        <v>3</v>
      </c>
      <c r="R7" s="82"/>
      <c r="S7" s="82">
        <v>1</v>
      </c>
      <c r="T7" s="82">
        <v>5</v>
      </c>
      <c r="U7" s="82">
        <v>2</v>
      </c>
      <c r="V7" s="83">
        <f t="shared" si="0"/>
        <v>19</v>
      </c>
      <c r="W7" s="42">
        <f t="shared" si="3"/>
        <v>9.5</v>
      </c>
      <c r="X7" s="42">
        <f>V7 + (V7 * (SUBSTITUTE(SUBSTITUTE($X$2, "Pessimistic (", ""), "%)", "") / 100))</f>
        <v>20.9</v>
      </c>
      <c r="Y7" s="84">
        <f t="shared" si="1"/>
        <v>17.733333333333334</v>
      </c>
      <c r="Z7" s="174">
        <f t="shared" si="2"/>
        <v>8.8666666666666671</v>
      </c>
      <c r="AA7" s="186"/>
      <c r="AB7" s="186"/>
      <c r="AC7" s="186"/>
      <c r="AD7" s="187"/>
      <c r="AE7" s="206">
        <f>IF($Z7="",0,IF($M7="",0,$M7))</f>
        <v>0</v>
      </c>
      <c r="AF7" s="206">
        <f>IF(OR($Z7="",$N7=""),0,$Z7*5%)</f>
        <v>0</v>
      </c>
      <c r="AG7" s="206">
        <f>IF(OR($Z7="",$O7=""),0,$Z7*10%)</f>
        <v>0.88666666666666671</v>
      </c>
      <c r="AH7" s="206">
        <f>IF($Z7="",0,IF(AND($P7="",$Q7=""),($Z7-$AE7-$AF7-$AG7-$AJ7-$AK7-$AL7-$AM7),IF($P7="",0,IF($Q7="",($Z7-$AE7-$AF7-$AG7-$AJ7-$AK7-$AL7-$AM7),($Z7-$AE7-$AF7-$AG7-$AJ7-$AK7-$AL7-$AM7)-$AI7))))</f>
        <v>3.2358974358974364</v>
      </c>
      <c r="AI7" s="206">
        <f>IF($Z7="",0,IF(AND($P7="",$Q7=""),0,IF($Q7="",0,IF($P7="",($Z7-$AE7-$AF7-$AG7-$AJ7-$AK7-$AL7-$AM7),($Z7-$AE7-$AF7-$AG7-$AJ7-$AK7-$AL7-$AM7)*15%/(50%+15%)))))</f>
        <v>0.97076923076923072</v>
      </c>
      <c r="AJ7" s="206">
        <f>IF($Z7="",0,IF($R7="",0,$R7))</f>
        <v>0</v>
      </c>
      <c r="AK7" s="206">
        <f>IF(OR($Z7="",$S7=""),0,$Z7*10%)</f>
        <v>0.88666666666666671</v>
      </c>
      <c r="AL7" s="206">
        <f>IF(OR($Z7="",$T7=""),0,$Z7*10%)</f>
        <v>0.88666666666666671</v>
      </c>
      <c r="AM7" s="206">
        <f>IF($Z7="",0,IF($U7="",0,$U7))</f>
        <v>2</v>
      </c>
    </row>
    <row r="8" spans="1:39" ht="18" customHeight="1">
      <c r="A8" s="89">
        <f t="shared" si="4"/>
        <v>5</v>
      </c>
      <c r="B8" s="285"/>
      <c r="C8" s="285"/>
      <c r="D8" s="99" t="s">
        <v>180</v>
      </c>
      <c r="E8" s="243"/>
      <c r="F8" s="90" t="s">
        <v>174</v>
      </c>
      <c r="G8" s="94"/>
      <c r="H8" s="74"/>
      <c r="I8" s="74"/>
      <c r="J8" s="74"/>
      <c r="K8" s="74"/>
      <c r="L8" s="74"/>
      <c r="M8" s="82"/>
      <c r="N8" s="82"/>
      <c r="O8" s="82">
        <v>3</v>
      </c>
      <c r="P8" s="82">
        <v>5</v>
      </c>
      <c r="Q8" s="82">
        <v>3</v>
      </c>
      <c r="R8" s="82"/>
      <c r="S8" s="82">
        <v>1</v>
      </c>
      <c r="T8" s="82">
        <v>5</v>
      </c>
      <c r="U8" s="82">
        <v>2</v>
      </c>
      <c r="V8" s="83">
        <f t="shared" si="0"/>
        <v>19</v>
      </c>
      <c r="W8" s="42">
        <f t="shared" si="3"/>
        <v>9.5</v>
      </c>
      <c r="X8" s="42">
        <f>V8 + (V8 * (SUBSTITUTE(SUBSTITUTE($X$2, "Pessimistic (", ""), "%)", "") / 100))</f>
        <v>20.9</v>
      </c>
      <c r="Y8" s="84">
        <f t="shared" si="1"/>
        <v>17.733333333333334</v>
      </c>
      <c r="Z8" s="174">
        <f t="shared" si="2"/>
        <v>8.8666666666666671</v>
      </c>
      <c r="AA8" s="186"/>
      <c r="AB8" s="186"/>
      <c r="AC8" s="186"/>
      <c r="AD8" s="187"/>
      <c r="AE8" s="206">
        <f>IF($Z8="",0,IF($M8="",0,$M8))</f>
        <v>0</v>
      </c>
      <c r="AF8" s="206">
        <f>IF(OR($Z8="",$N8=""),0,$Z8*5%)</f>
        <v>0</v>
      </c>
      <c r="AG8" s="206">
        <f>IF(OR($Z8="",$O8=""),0,$Z8*10%)</f>
        <v>0.88666666666666671</v>
      </c>
      <c r="AH8" s="206">
        <f>IF($Z8="",0,IF(AND($P8="",$Q8=""),($Z8-$AE8-$AF8-$AG8-$AJ8-$AK8-$AL8-$AM8),IF($P8="",0,IF($Q8="",($Z8-$AE8-$AF8-$AG8-$AJ8-$AK8-$AL8-$AM8),($Z8-$AE8-$AF8-$AG8-$AJ8-$AK8-$AL8-$AM8)-$AI8))))</f>
        <v>3.2358974358974364</v>
      </c>
      <c r="AI8" s="206">
        <f>IF($Z8="",0,IF(AND($P8="",$Q8=""),0,IF($Q8="",0,IF($P8="",($Z8-$AE8-$AF8-$AG8-$AJ8-$AK8-$AL8-$AM8),($Z8-$AE8-$AF8-$AG8-$AJ8-$AK8-$AL8-$AM8)*15%/(50%+15%)))))</f>
        <v>0.97076923076923072</v>
      </c>
      <c r="AJ8" s="206">
        <f>IF($Z8="",0,IF($R8="",0,$R8))</f>
        <v>0</v>
      </c>
      <c r="AK8" s="206">
        <f>IF(OR($Z8="",$S8=""),0,$Z8*10%)</f>
        <v>0.88666666666666671</v>
      </c>
      <c r="AL8" s="206">
        <f>IF(OR($Z8="",$T8=""),0,$Z8*10%)</f>
        <v>0.88666666666666671</v>
      </c>
      <c r="AM8" s="206">
        <f>IF($Z8="",0,IF($U8="",0,$U8))</f>
        <v>2</v>
      </c>
    </row>
    <row r="9" spans="1:39" ht="18" customHeight="1">
      <c r="A9" s="89">
        <f t="shared" si="4"/>
        <v>6</v>
      </c>
      <c r="B9" s="285"/>
      <c r="C9" s="285"/>
      <c r="D9" s="99" t="s">
        <v>181</v>
      </c>
      <c r="E9" s="243"/>
      <c r="F9" s="90" t="s">
        <v>174</v>
      </c>
      <c r="G9" s="94"/>
      <c r="H9" s="74"/>
      <c r="I9" s="74"/>
      <c r="J9" s="74"/>
      <c r="K9" s="74"/>
      <c r="L9" s="74"/>
      <c r="M9" s="82"/>
      <c r="N9" s="82"/>
      <c r="O9" s="82">
        <v>3</v>
      </c>
      <c r="P9" s="82">
        <v>5</v>
      </c>
      <c r="Q9" s="82">
        <v>3</v>
      </c>
      <c r="R9" s="82"/>
      <c r="S9" s="82">
        <v>1</v>
      </c>
      <c r="T9" s="82">
        <v>5</v>
      </c>
      <c r="U9" s="82">
        <v>2</v>
      </c>
      <c r="V9" s="83">
        <f t="shared" si="0"/>
        <v>19</v>
      </c>
      <c r="W9" s="42">
        <f t="shared" si="3"/>
        <v>9.5</v>
      </c>
      <c r="X9" s="42">
        <f>V9 + (V9 * (SUBSTITUTE(SUBSTITUTE($X$2, "Pessimistic (", ""), "%)", "") / 100))</f>
        <v>20.9</v>
      </c>
      <c r="Y9" s="84">
        <f t="shared" si="1"/>
        <v>17.733333333333334</v>
      </c>
      <c r="Z9" s="174">
        <f t="shared" si="2"/>
        <v>8.8666666666666671</v>
      </c>
      <c r="AA9" s="186"/>
      <c r="AB9" s="186"/>
      <c r="AC9" s="186"/>
      <c r="AD9" s="187"/>
      <c r="AE9" s="206">
        <f>IF($Z9="",0,IF($M9="",0,$M9))</f>
        <v>0</v>
      </c>
      <c r="AF9" s="206">
        <f>IF(OR($Z9="",$N9=""),0,$Z9*5%)</f>
        <v>0</v>
      </c>
      <c r="AG9" s="206">
        <f>IF(OR($Z9="",$O9=""),0,$Z9*10%)</f>
        <v>0.88666666666666671</v>
      </c>
      <c r="AH9" s="206">
        <f>IF($Z9="",0,IF(AND($P9="",$Q9=""),($Z9-$AE9-$AF9-$AG9-$AJ9-$AK9-$AL9-$AM9),IF($P9="",0,IF($Q9="",($Z9-$AE9-$AF9-$AG9-$AJ9-$AK9-$AL9-$AM9),($Z9-$AE9-$AF9-$AG9-$AJ9-$AK9-$AL9-$AM9)-$AI9))))</f>
        <v>3.2358974358974364</v>
      </c>
      <c r="AI9" s="206">
        <f>IF($Z9="",0,IF(AND($P9="",$Q9=""),0,IF($Q9="",0,IF($P9="",($Z9-$AE9-$AF9-$AG9-$AJ9-$AK9-$AL9-$AM9),($Z9-$AE9-$AF9-$AG9-$AJ9-$AK9-$AL9-$AM9)*15%/(50%+15%)))))</f>
        <v>0.97076923076923072</v>
      </c>
      <c r="AJ9" s="206">
        <f>IF($Z9="",0,IF($R9="",0,$R9))</f>
        <v>0</v>
      </c>
      <c r="AK9" s="206">
        <f>IF(OR($Z9="",$S9=""),0,$Z9*10%)</f>
        <v>0.88666666666666671</v>
      </c>
      <c r="AL9" s="206">
        <f>IF(OR($Z9="",$T9=""),0,$Z9*10%)</f>
        <v>0.88666666666666671</v>
      </c>
      <c r="AM9" s="206">
        <f>IF($Z9="",0,IF($U9="",0,$U9))</f>
        <v>2</v>
      </c>
    </row>
    <row r="10" spans="1:39" ht="18" customHeight="1">
      <c r="A10" s="89">
        <f t="shared" si="4"/>
        <v>7</v>
      </c>
      <c r="B10" s="285"/>
      <c r="C10" s="285"/>
      <c r="D10" s="99" t="s">
        <v>182</v>
      </c>
      <c r="E10" s="243"/>
      <c r="F10" s="90" t="s">
        <v>174</v>
      </c>
      <c r="G10" s="94"/>
      <c r="H10" s="74"/>
      <c r="I10" s="74"/>
      <c r="J10" s="74"/>
      <c r="K10" s="74"/>
      <c r="L10" s="74"/>
      <c r="M10" s="82"/>
      <c r="N10" s="82"/>
      <c r="O10" s="82">
        <v>3</v>
      </c>
      <c r="P10" s="82">
        <v>5</v>
      </c>
      <c r="Q10" s="82">
        <v>3</v>
      </c>
      <c r="R10" s="82"/>
      <c r="S10" s="82">
        <v>1</v>
      </c>
      <c r="T10" s="82">
        <v>5</v>
      </c>
      <c r="U10" s="82">
        <v>2</v>
      </c>
      <c r="V10" s="83">
        <f t="shared" si="0"/>
        <v>19</v>
      </c>
      <c r="W10" s="42">
        <f t="shared" si="3"/>
        <v>9.5</v>
      </c>
      <c r="X10" s="42">
        <f>V10 + (V10 * (SUBSTITUTE(SUBSTITUTE($X$2, "Pessimistic (", ""), "%)", "") / 100))</f>
        <v>20.9</v>
      </c>
      <c r="Y10" s="84">
        <f t="shared" si="1"/>
        <v>17.733333333333334</v>
      </c>
      <c r="Z10" s="174">
        <f t="shared" si="2"/>
        <v>8.8666666666666671</v>
      </c>
      <c r="AA10" s="186"/>
      <c r="AB10" s="186"/>
      <c r="AC10" s="186"/>
      <c r="AD10" s="187"/>
      <c r="AE10" s="206">
        <f>IF($Z10="",0,IF($M10="",0,$M10))</f>
        <v>0</v>
      </c>
      <c r="AF10" s="206">
        <f>IF(OR($Z10="",$N10=""),0,$Z10*5%)</f>
        <v>0</v>
      </c>
      <c r="AG10" s="206">
        <f>IF(OR($Z10="",$O10=""),0,$Z10*10%)</f>
        <v>0.88666666666666671</v>
      </c>
      <c r="AH10" s="206">
        <f>IF($Z10="",0,IF(AND($P10="",$Q10=""),($Z10-$AE10-$AF10-$AG10-$AJ10-$AK10-$AL10-$AM10),IF($P10="",0,IF($Q10="",($Z10-$AE10-$AF10-$AG10-$AJ10-$AK10-$AL10-$AM10),($Z10-$AE10-$AF10-$AG10-$AJ10-$AK10-$AL10-$AM10)-$AI10))))</f>
        <v>3.2358974358974364</v>
      </c>
      <c r="AI10" s="206">
        <f>IF($Z10="",0,IF(AND($P10="",$Q10=""),0,IF($Q10="",0,IF($P10="",($Z10-$AE10-$AF10-$AG10-$AJ10-$AK10-$AL10-$AM10),($Z10-$AE10-$AF10-$AG10-$AJ10-$AK10-$AL10-$AM10)*15%/(50%+15%)))))</f>
        <v>0.97076923076923072</v>
      </c>
      <c r="AJ10" s="206">
        <f>IF($Z10="",0,IF($R10="",0,$R10))</f>
        <v>0</v>
      </c>
      <c r="AK10" s="206">
        <f>IF(OR($Z10="",$S10=""),0,$Z10*10%)</f>
        <v>0.88666666666666671</v>
      </c>
      <c r="AL10" s="206">
        <f>IF(OR($Z10="",$T10=""),0,$Z10*10%)</f>
        <v>0.88666666666666671</v>
      </c>
      <c r="AM10" s="206">
        <f>IF($Z10="",0,IF($U10="",0,$U10))</f>
        <v>2</v>
      </c>
    </row>
    <row r="11" spans="1:39" ht="18" customHeight="1">
      <c r="A11" s="89">
        <f t="shared" si="4"/>
        <v>8</v>
      </c>
      <c r="B11" s="285"/>
      <c r="C11" s="285"/>
      <c r="D11" s="99" t="s">
        <v>183</v>
      </c>
      <c r="E11" s="243"/>
      <c r="F11" s="90" t="s">
        <v>174</v>
      </c>
      <c r="G11" s="94"/>
      <c r="H11" s="74"/>
      <c r="I11" s="74"/>
      <c r="J11" s="74"/>
      <c r="K11" s="74"/>
      <c r="L11" s="74"/>
      <c r="M11" s="82"/>
      <c r="N11" s="82"/>
      <c r="O11" s="82">
        <v>3</v>
      </c>
      <c r="P11" s="82">
        <v>5</v>
      </c>
      <c r="Q11" s="82">
        <v>3</v>
      </c>
      <c r="R11" s="82"/>
      <c r="S11" s="82">
        <v>1</v>
      </c>
      <c r="T11" s="82">
        <v>5</v>
      </c>
      <c r="U11" s="82">
        <v>2</v>
      </c>
      <c r="V11" s="83">
        <f t="shared" si="0"/>
        <v>19</v>
      </c>
      <c r="W11" s="42">
        <f t="shared" si="3"/>
        <v>9.5</v>
      </c>
      <c r="X11" s="42">
        <f>V11 + (V11 * (SUBSTITUTE(SUBSTITUTE($X$2, "Pessimistic (", ""), "%)", "") / 100))</f>
        <v>20.9</v>
      </c>
      <c r="Y11" s="84">
        <f t="shared" si="1"/>
        <v>17.733333333333334</v>
      </c>
      <c r="Z11" s="174">
        <f t="shared" si="2"/>
        <v>8.8666666666666671</v>
      </c>
      <c r="AA11" s="186"/>
      <c r="AB11" s="186"/>
      <c r="AC11" s="186"/>
      <c r="AD11" s="187"/>
      <c r="AE11" s="206">
        <f>IF($Z11="",0,IF($M11="",0,$M11))</f>
        <v>0</v>
      </c>
      <c r="AF11" s="206">
        <f>IF(OR($Z11="",$N11=""),0,$Z11*5%)</f>
        <v>0</v>
      </c>
      <c r="AG11" s="206">
        <f>IF(OR($Z11="",$O11=""),0,$Z11*10%)</f>
        <v>0.88666666666666671</v>
      </c>
      <c r="AH11" s="206">
        <f>IF($Z11="",0,IF(AND($P11="",$Q11=""),($Z11-$AE11-$AF11-$AG11-$AJ11-$AK11-$AL11-$AM11),IF($P11="",0,IF($Q11="",($Z11-$AE11-$AF11-$AG11-$AJ11-$AK11-$AL11-$AM11),($Z11-$AE11-$AF11-$AG11-$AJ11-$AK11-$AL11-$AM11)-$AI11))))</f>
        <v>3.2358974358974364</v>
      </c>
      <c r="AI11" s="206">
        <f>IF($Z11="",0,IF(AND($P11="",$Q11=""),0,IF($Q11="",0,IF($P11="",($Z11-$AE11-$AF11-$AG11-$AJ11-$AK11-$AL11-$AM11),($Z11-$AE11-$AF11-$AG11-$AJ11-$AK11-$AL11-$AM11)*15%/(50%+15%)))))</f>
        <v>0.97076923076923072</v>
      </c>
      <c r="AJ11" s="206">
        <f>IF($Z11="",0,IF($R11="",0,$R11))</f>
        <v>0</v>
      </c>
      <c r="AK11" s="206">
        <f>IF(OR($Z11="",$S11=""),0,$Z11*10%)</f>
        <v>0.88666666666666671</v>
      </c>
      <c r="AL11" s="206">
        <f>IF(OR($Z11="",$T11=""),0,$Z11*10%)</f>
        <v>0.88666666666666671</v>
      </c>
      <c r="AM11" s="206">
        <f>IF($Z11="",0,IF($U11="",0,$U11))</f>
        <v>2</v>
      </c>
    </row>
    <row r="12" spans="1:39" ht="18" customHeight="1">
      <c r="A12" s="89">
        <f t="shared" si="4"/>
        <v>9</v>
      </c>
      <c r="B12" s="285"/>
      <c r="C12" s="285"/>
      <c r="D12" s="99" t="s">
        <v>184</v>
      </c>
      <c r="E12" s="243"/>
      <c r="F12" s="90" t="s">
        <v>174</v>
      </c>
      <c r="G12" s="94"/>
      <c r="H12" s="74"/>
      <c r="I12" s="74"/>
      <c r="J12" s="74"/>
      <c r="K12" s="74"/>
      <c r="L12" s="74"/>
      <c r="M12" s="82"/>
      <c r="N12" s="82"/>
      <c r="O12" s="82">
        <v>3</v>
      </c>
      <c r="P12" s="82">
        <v>5</v>
      </c>
      <c r="Q12" s="82">
        <v>3</v>
      </c>
      <c r="R12" s="82"/>
      <c r="S12" s="82">
        <v>1</v>
      </c>
      <c r="T12" s="82">
        <v>5</v>
      </c>
      <c r="U12" s="82">
        <v>2</v>
      </c>
      <c r="V12" s="83">
        <f t="shared" si="0"/>
        <v>19</v>
      </c>
      <c r="W12" s="42">
        <f t="shared" si="3"/>
        <v>9.5</v>
      </c>
      <c r="X12" s="42">
        <f>V12 + (V12 * (SUBSTITUTE(SUBSTITUTE($X$2, "Pessimistic (", ""), "%)", "") / 100))</f>
        <v>20.9</v>
      </c>
      <c r="Y12" s="84">
        <f t="shared" si="1"/>
        <v>17.733333333333334</v>
      </c>
      <c r="Z12" s="174">
        <f t="shared" si="2"/>
        <v>8.8666666666666671</v>
      </c>
      <c r="AA12" s="186"/>
      <c r="AB12" s="186"/>
      <c r="AC12" s="186"/>
      <c r="AD12" s="187"/>
      <c r="AE12" s="206">
        <f>IF($Z12="",0,IF($M12="",0,$M12))</f>
        <v>0</v>
      </c>
      <c r="AF12" s="206">
        <f>IF(OR($Z12="",$N12=""),0,$Z12*5%)</f>
        <v>0</v>
      </c>
      <c r="AG12" s="206">
        <f>IF(OR($Z12="",$O12=""),0,$Z12*10%)</f>
        <v>0.88666666666666671</v>
      </c>
      <c r="AH12" s="206">
        <f>IF($Z12="",0,IF(AND($P12="",$Q12=""),($Z12-$AE12-$AF12-$AG12-$AJ12-$AK12-$AL12-$AM12),IF($P12="",0,IF($Q12="",($Z12-$AE12-$AF12-$AG12-$AJ12-$AK12-$AL12-$AM12),($Z12-$AE12-$AF12-$AG12-$AJ12-$AK12-$AL12-$AM12)-$AI12))))</f>
        <v>3.2358974358974364</v>
      </c>
      <c r="AI12" s="206">
        <f>IF($Z12="",0,IF(AND($P12="",$Q12=""),0,IF($Q12="",0,IF($P12="",($Z12-$AE12-$AF12-$AG12-$AJ12-$AK12-$AL12-$AM12),($Z12-$AE12-$AF12-$AG12-$AJ12-$AK12-$AL12-$AM12)*15%/(50%+15%)))))</f>
        <v>0.97076923076923072</v>
      </c>
      <c r="AJ12" s="206">
        <f>IF($Z12="",0,IF($R12="",0,$R12))</f>
        <v>0</v>
      </c>
      <c r="AK12" s="206">
        <f>IF(OR($Z12="",$S12=""),0,$Z12*10%)</f>
        <v>0.88666666666666671</v>
      </c>
      <c r="AL12" s="206">
        <f>IF(OR($Z12="",$T12=""),0,$Z12*10%)</f>
        <v>0.88666666666666671</v>
      </c>
      <c r="AM12" s="206">
        <f>IF($Z12="",0,IF($U12="",0,$U12))</f>
        <v>2</v>
      </c>
    </row>
    <row r="13" spans="1:39" ht="18" customHeight="1">
      <c r="A13" s="89">
        <f t="shared" si="4"/>
        <v>10</v>
      </c>
      <c r="B13" s="285"/>
      <c r="C13" s="285"/>
      <c r="D13" s="99" t="s">
        <v>185</v>
      </c>
      <c r="E13" s="243"/>
      <c r="F13" s="90" t="s">
        <v>174</v>
      </c>
      <c r="G13" s="94"/>
      <c r="H13" s="74"/>
      <c r="I13" s="74"/>
      <c r="J13" s="74"/>
      <c r="K13" s="74"/>
      <c r="L13" s="74"/>
      <c r="M13" s="82"/>
      <c r="N13" s="82"/>
      <c r="O13" s="82">
        <v>3</v>
      </c>
      <c r="P13" s="82">
        <v>5</v>
      </c>
      <c r="Q13" s="82">
        <v>3</v>
      </c>
      <c r="R13" s="82"/>
      <c r="S13" s="82">
        <v>1</v>
      </c>
      <c r="T13" s="82">
        <v>5</v>
      </c>
      <c r="U13" s="82">
        <v>2</v>
      </c>
      <c r="V13" s="83">
        <f t="shared" si="0"/>
        <v>19</v>
      </c>
      <c r="W13" s="42">
        <f t="shared" si="3"/>
        <v>9.5</v>
      </c>
      <c r="X13" s="42">
        <f>V13 + (V13 * (SUBSTITUTE(SUBSTITUTE($X$2, "Pessimistic (", ""), "%)", "") / 100))</f>
        <v>20.9</v>
      </c>
      <c r="Y13" s="84">
        <f t="shared" si="1"/>
        <v>17.733333333333334</v>
      </c>
      <c r="Z13" s="174">
        <f t="shared" si="2"/>
        <v>8.8666666666666671</v>
      </c>
      <c r="AA13" s="186"/>
      <c r="AB13" s="186"/>
      <c r="AC13" s="186"/>
      <c r="AD13" s="187"/>
      <c r="AE13" s="206">
        <f>IF($Z13="",0,IF($M13="",0,$M13))</f>
        <v>0</v>
      </c>
      <c r="AF13" s="206">
        <f>IF(OR($Z13="",$N13=""),0,$Z13*5%)</f>
        <v>0</v>
      </c>
      <c r="AG13" s="206">
        <f>IF(OR($Z13="",$O13=""),0,$Z13*10%)</f>
        <v>0.88666666666666671</v>
      </c>
      <c r="AH13" s="206">
        <f>IF($Z13="",0,IF(AND($P13="",$Q13=""),($Z13-$AE13-$AF13-$AG13-$AJ13-$AK13-$AL13-$AM13),IF($P13="",0,IF($Q13="",($Z13-$AE13-$AF13-$AG13-$AJ13-$AK13-$AL13-$AM13),($Z13-$AE13-$AF13-$AG13-$AJ13-$AK13-$AL13-$AM13)-$AI13))))</f>
        <v>3.2358974358974364</v>
      </c>
      <c r="AI13" s="206">
        <f>IF($Z13="",0,IF(AND($P13="",$Q13=""),0,IF($Q13="",0,IF($P13="",($Z13-$AE13-$AF13-$AG13-$AJ13-$AK13-$AL13-$AM13),($Z13-$AE13-$AF13-$AG13-$AJ13-$AK13-$AL13-$AM13)*15%/(50%+15%)))))</f>
        <v>0.97076923076923072</v>
      </c>
      <c r="AJ13" s="206">
        <f>IF($Z13="",0,IF($R13="",0,$R13))</f>
        <v>0</v>
      </c>
      <c r="AK13" s="206">
        <f>IF(OR($Z13="",$S13=""),0,$Z13*10%)</f>
        <v>0.88666666666666671</v>
      </c>
      <c r="AL13" s="206">
        <f>IF(OR($Z13="",$T13=""),0,$Z13*10%)</f>
        <v>0.88666666666666671</v>
      </c>
      <c r="AM13" s="206">
        <f>IF($Z13="",0,IF($U13="",0,$U13))</f>
        <v>2</v>
      </c>
    </row>
    <row r="14" spans="1:39" ht="18" customHeight="1">
      <c r="A14" s="89">
        <f t="shared" si="4"/>
        <v>11</v>
      </c>
      <c r="B14" s="285"/>
      <c r="C14" s="285"/>
      <c r="D14" s="99" t="s">
        <v>186</v>
      </c>
      <c r="E14" s="243"/>
      <c r="F14" s="90" t="s">
        <v>174</v>
      </c>
      <c r="G14" s="94"/>
      <c r="H14" s="74"/>
      <c r="I14" s="74"/>
      <c r="J14" s="74"/>
      <c r="K14" s="74"/>
      <c r="L14" s="74"/>
      <c r="M14" s="82"/>
      <c r="N14" s="82"/>
      <c r="O14" s="82">
        <v>3</v>
      </c>
      <c r="P14" s="82">
        <v>5</v>
      </c>
      <c r="Q14" s="82">
        <v>3</v>
      </c>
      <c r="R14" s="82"/>
      <c r="S14" s="82">
        <v>1</v>
      </c>
      <c r="T14" s="82">
        <v>5</v>
      </c>
      <c r="U14" s="82">
        <v>2</v>
      </c>
      <c r="V14" s="83">
        <f t="shared" si="0"/>
        <v>19</v>
      </c>
      <c r="W14" s="42">
        <f t="shared" si="3"/>
        <v>9.5</v>
      </c>
      <c r="X14" s="42">
        <f>V14 + (V14 * (SUBSTITUTE(SUBSTITUTE($X$2, "Pessimistic (", ""), "%)", "") / 100))</f>
        <v>20.9</v>
      </c>
      <c r="Y14" s="84">
        <f t="shared" si="1"/>
        <v>17.733333333333334</v>
      </c>
      <c r="Z14" s="174">
        <f t="shared" si="2"/>
        <v>8.8666666666666671</v>
      </c>
      <c r="AA14" s="186"/>
      <c r="AB14" s="186"/>
      <c r="AC14" s="186"/>
      <c r="AD14" s="187"/>
      <c r="AE14" s="206">
        <f>IF($Z14="",0,IF($M14="",0,$M14))</f>
        <v>0</v>
      </c>
      <c r="AF14" s="206">
        <f>IF(OR($Z14="",$N14=""),0,$Z14*5%)</f>
        <v>0</v>
      </c>
      <c r="AG14" s="206">
        <f>IF(OR($Z14="",$O14=""),0,$Z14*10%)</f>
        <v>0.88666666666666671</v>
      </c>
      <c r="AH14" s="206">
        <f>IF($Z14="",0,IF(AND($P14="",$Q14=""),($Z14-$AE14-$AF14-$AG14-$AJ14-$AK14-$AL14-$AM14),IF($P14="",0,IF($Q14="",($Z14-$AE14-$AF14-$AG14-$AJ14-$AK14-$AL14-$AM14),($Z14-$AE14-$AF14-$AG14-$AJ14-$AK14-$AL14-$AM14)-$AI14))))</f>
        <v>3.2358974358974364</v>
      </c>
      <c r="AI14" s="206">
        <f>IF($Z14="",0,IF(AND($P14="",$Q14=""),0,IF($Q14="",0,IF($P14="",($Z14-$AE14-$AF14-$AG14-$AJ14-$AK14-$AL14-$AM14),($Z14-$AE14-$AF14-$AG14-$AJ14-$AK14-$AL14-$AM14)*15%/(50%+15%)))))</f>
        <v>0.97076923076923072</v>
      </c>
      <c r="AJ14" s="206">
        <f>IF($Z14="",0,IF($R14="",0,$R14))</f>
        <v>0</v>
      </c>
      <c r="AK14" s="206">
        <f>IF(OR($Z14="",$S14=""),0,$Z14*10%)</f>
        <v>0.88666666666666671</v>
      </c>
      <c r="AL14" s="206">
        <f>IF(OR($Z14="",$T14=""),0,$Z14*10%)</f>
        <v>0.88666666666666671</v>
      </c>
      <c r="AM14" s="206">
        <f>IF($Z14="",0,IF($U14="",0,$U14))</f>
        <v>2</v>
      </c>
    </row>
    <row r="15" spans="1:39" ht="18" customHeight="1">
      <c r="A15" s="89">
        <f t="shared" si="4"/>
        <v>12</v>
      </c>
      <c r="B15" s="285"/>
      <c r="C15" s="285"/>
      <c r="D15" s="99" t="s">
        <v>187</v>
      </c>
      <c r="E15" s="243"/>
      <c r="F15" s="90" t="s">
        <v>174</v>
      </c>
      <c r="G15" s="94"/>
      <c r="H15" s="74"/>
      <c r="I15" s="74"/>
      <c r="J15" s="74"/>
      <c r="K15" s="74"/>
      <c r="L15" s="74"/>
      <c r="M15" s="82"/>
      <c r="N15" s="82"/>
      <c r="O15" s="82">
        <v>3</v>
      </c>
      <c r="P15" s="82">
        <v>5</v>
      </c>
      <c r="Q15" s="82">
        <v>3</v>
      </c>
      <c r="R15" s="82"/>
      <c r="S15" s="82">
        <v>1</v>
      </c>
      <c r="T15" s="82">
        <v>5</v>
      </c>
      <c r="U15" s="82">
        <v>2</v>
      </c>
      <c r="V15" s="83">
        <f t="shared" si="0"/>
        <v>19</v>
      </c>
      <c r="W15" s="42">
        <f t="shared" si="3"/>
        <v>9.5</v>
      </c>
      <c r="X15" s="42">
        <f>V15 + (V15 * (SUBSTITUTE(SUBSTITUTE($X$2, "Pessimistic (", ""), "%)", "") / 100))</f>
        <v>20.9</v>
      </c>
      <c r="Y15" s="84">
        <f t="shared" si="1"/>
        <v>17.733333333333334</v>
      </c>
      <c r="Z15" s="174">
        <f t="shared" si="2"/>
        <v>8.8666666666666671</v>
      </c>
      <c r="AA15" s="186"/>
      <c r="AB15" s="186"/>
      <c r="AC15" s="186"/>
      <c r="AD15" s="187"/>
      <c r="AE15" s="206">
        <f>IF($Z15="",0,IF($M15="",0,$M15))</f>
        <v>0</v>
      </c>
      <c r="AF15" s="206">
        <f>IF(OR($Z15="",$N15=""),0,$Z15*5%)</f>
        <v>0</v>
      </c>
      <c r="AG15" s="206">
        <f>IF(OR($Z15="",$O15=""),0,$Z15*10%)</f>
        <v>0.88666666666666671</v>
      </c>
      <c r="AH15" s="206">
        <f>IF($Z15="",0,IF(AND($P15="",$Q15=""),($Z15-$AE15-$AF15-$AG15-$AJ15-$AK15-$AL15-$AM15),IF($P15="",0,IF($Q15="",($Z15-$AE15-$AF15-$AG15-$AJ15-$AK15-$AL15-$AM15),($Z15-$AE15-$AF15-$AG15-$AJ15-$AK15-$AL15-$AM15)-$AI15))))</f>
        <v>3.2358974358974364</v>
      </c>
      <c r="AI15" s="206">
        <f>IF($Z15="",0,IF(AND($P15="",$Q15=""),0,IF($Q15="",0,IF($P15="",($Z15-$AE15-$AF15-$AG15-$AJ15-$AK15-$AL15-$AM15),($Z15-$AE15-$AF15-$AG15-$AJ15-$AK15-$AL15-$AM15)*15%/(50%+15%)))))</f>
        <v>0.97076923076923072</v>
      </c>
      <c r="AJ15" s="206">
        <f>IF($Z15="",0,IF($R15="",0,$R15))</f>
        <v>0</v>
      </c>
      <c r="AK15" s="206">
        <f>IF(OR($Z15="",$S15=""),0,$Z15*10%)</f>
        <v>0.88666666666666671</v>
      </c>
      <c r="AL15" s="206">
        <f>IF(OR($Z15="",$T15=""),0,$Z15*10%)</f>
        <v>0.88666666666666671</v>
      </c>
      <c r="AM15" s="206">
        <f>IF($Z15="",0,IF($U15="",0,$U15))</f>
        <v>2</v>
      </c>
    </row>
    <row r="16" spans="1:39" ht="18" hidden="1" customHeight="1">
      <c r="A16" s="89">
        <f t="shared" si="4"/>
        <v>13</v>
      </c>
      <c r="B16" s="285"/>
      <c r="C16" s="285"/>
      <c r="D16" s="107" t="s">
        <v>188</v>
      </c>
      <c r="E16" s="244"/>
      <c r="F16" s="90" t="s">
        <v>154</v>
      </c>
      <c r="G16" s="94"/>
      <c r="H16" s="74"/>
      <c r="I16" s="74"/>
      <c r="J16" s="74"/>
      <c r="K16" s="74"/>
      <c r="L16" s="74"/>
      <c r="M16" s="82"/>
      <c r="N16" s="82"/>
      <c r="O16" s="82">
        <v>3</v>
      </c>
      <c r="P16" s="82">
        <v>5</v>
      </c>
      <c r="Q16" s="82">
        <v>3</v>
      </c>
      <c r="R16" s="82"/>
      <c r="S16" s="82">
        <v>1</v>
      </c>
      <c r="T16" s="82">
        <v>5</v>
      </c>
      <c r="U16" s="82">
        <v>2</v>
      </c>
      <c r="V16" s="83">
        <f t="shared" si="0"/>
        <v>19</v>
      </c>
      <c r="W16" s="42">
        <f t="shared" si="3"/>
        <v>9.5</v>
      </c>
      <c r="X16" s="42">
        <f>V16 + (V16 * (SUBSTITUTE(SUBSTITUTE($X$2, "Pessimistic (", ""), "%)", "") / 100))</f>
        <v>20.9</v>
      </c>
      <c r="Y16" s="84">
        <f t="shared" si="1"/>
        <v>17.733333333333334</v>
      </c>
      <c r="Z16" s="174">
        <f t="shared" si="2"/>
        <v>8.8666666666666671</v>
      </c>
      <c r="AA16" s="186"/>
      <c r="AB16" s="186"/>
      <c r="AC16" s="186"/>
      <c r="AD16" s="187"/>
      <c r="AE16" s="206">
        <f>IF($Z16="",0,IF($M16="",0,$M16))</f>
        <v>0</v>
      </c>
      <c r="AF16" s="206">
        <f>IF(OR($Z16="",$N16=""),0,$Z16*5%)</f>
        <v>0</v>
      </c>
      <c r="AG16" s="206">
        <f>IF(OR($Z16="",$O16=""),0,$Z16*10%)</f>
        <v>0.88666666666666671</v>
      </c>
      <c r="AH16" s="206">
        <f>IF($Z16="",0,IF(AND($P16="",$Q16=""),($Z16-$AE16-$AF16-$AG16-$AJ16-$AK16-$AL16-$AM16),IF($P16="",0,IF($Q16="",($Z16-$AE16-$AF16-$AG16-$AJ16-$AK16-$AL16-$AM16),($Z16-$AE16-$AF16-$AG16-$AJ16-$AK16-$AL16-$AM16)-$AI16))))</f>
        <v>3.2358974358974364</v>
      </c>
      <c r="AI16" s="206">
        <f>IF($Z16="",0,IF(AND($P16="",$Q16=""),0,IF($Q16="",0,IF($P16="",($Z16-$AE16-$AF16-$AG16-$AJ16-$AK16-$AL16-$AM16),($Z16-$AE16-$AF16-$AG16-$AJ16-$AK16-$AL16-$AM16)*15%/(50%+15%)))))</f>
        <v>0.97076923076923072</v>
      </c>
      <c r="AJ16" s="206">
        <f>IF($Z16="",0,IF($R16="",0,$R16))</f>
        <v>0</v>
      </c>
      <c r="AK16" s="206">
        <f>IF(OR($Z16="",$S16=""),0,$Z16*10%)</f>
        <v>0.88666666666666671</v>
      </c>
      <c r="AL16" s="206">
        <f>IF(OR($Z16="",$T16=""),0,$Z16*10%)</f>
        <v>0.88666666666666671</v>
      </c>
      <c r="AM16" s="206">
        <f>IF($Z16="",0,IF($U16="",0,$U16))</f>
        <v>2</v>
      </c>
    </row>
    <row r="17" spans="1:41" ht="18" hidden="1" customHeight="1">
      <c r="A17" s="89">
        <f t="shared" si="4"/>
        <v>14</v>
      </c>
      <c r="B17" s="285"/>
      <c r="C17" s="285"/>
      <c r="D17" s="99" t="s">
        <v>189</v>
      </c>
      <c r="E17" s="243"/>
      <c r="F17" s="90" t="s">
        <v>154</v>
      </c>
      <c r="G17" s="94"/>
      <c r="H17" s="74"/>
      <c r="I17" s="74"/>
      <c r="J17" s="74"/>
      <c r="K17" s="74"/>
      <c r="L17" s="74"/>
      <c r="M17" s="82"/>
      <c r="N17" s="82"/>
      <c r="O17" s="82">
        <v>3</v>
      </c>
      <c r="P17" s="82">
        <v>5</v>
      </c>
      <c r="Q17" s="82">
        <v>3</v>
      </c>
      <c r="R17" s="82"/>
      <c r="S17" s="82">
        <v>1</v>
      </c>
      <c r="T17" s="82">
        <v>5</v>
      </c>
      <c r="U17" s="82">
        <v>2</v>
      </c>
      <c r="V17" s="83">
        <f t="shared" si="0"/>
        <v>19</v>
      </c>
      <c r="W17" s="42">
        <f t="shared" si="3"/>
        <v>9.5</v>
      </c>
      <c r="X17" s="42">
        <f>V17 + (V17 * (SUBSTITUTE(SUBSTITUTE($X$2, "Pessimistic (", ""), "%)", "") / 100))</f>
        <v>20.9</v>
      </c>
      <c r="Y17" s="84">
        <f t="shared" si="1"/>
        <v>17.733333333333334</v>
      </c>
      <c r="Z17" s="174">
        <f t="shared" si="2"/>
        <v>8.8666666666666671</v>
      </c>
      <c r="AA17" s="186"/>
      <c r="AB17" s="186"/>
      <c r="AC17" s="186"/>
      <c r="AD17" s="187"/>
      <c r="AE17" s="206">
        <f>IF($Z17="",0,IF($M17="",0,$M17))</f>
        <v>0</v>
      </c>
      <c r="AF17" s="206">
        <f>IF(OR($Z17="",$N17=""),0,$Z17*5%)</f>
        <v>0</v>
      </c>
      <c r="AG17" s="206">
        <f>IF(OR($Z17="",$O17=""),0,$Z17*10%)</f>
        <v>0.88666666666666671</v>
      </c>
      <c r="AH17" s="206">
        <f>IF($Z17="",0,IF(AND($P17="",$Q17=""),($Z17-$AE17-$AF17-$AG17-$AJ17-$AK17-$AL17-$AM17),IF($P17="",0,IF($Q17="",($Z17-$AE17-$AF17-$AG17-$AJ17-$AK17-$AL17-$AM17),($Z17-$AE17-$AF17-$AG17-$AJ17-$AK17-$AL17-$AM17)-$AI17))))</f>
        <v>3.2358974358974364</v>
      </c>
      <c r="AI17" s="206">
        <f>IF($Z17="",0,IF(AND($P17="",$Q17=""),0,IF($Q17="",0,IF($P17="",($Z17-$AE17-$AF17-$AG17-$AJ17-$AK17-$AL17-$AM17),($Z17-$AE17-$AF17-$AG17-$AJ17-$AK17-$AL17-$AM17)*15%/(50%+15%)))))</f>
        <v>0.97076923076923072</v>
      </c>
      <c r="AJ17" s="206">
        <f>IF($Z17="",0,IF($R17="",0,$R17))</f>
        <v>0</v>
      </c>
      <c r="AK17" s="206">
        <f>IF(OR($Z17="",$S17=""),0,$Z17*10%)</f>
        <v>0.88666666666666671</v>
      </c>
      <c r="AL17" s="206">
        <f>IF(OR($Z17="",$T17=""),0,$Z17*10%)</f>
        <v>0.88666666666666671</v>
      </c>
      <c r="AM17" s="206">
        <f>IF($Z17="",0,IF($U17="",0,$U17))</f>
        <v>2</v>
      </c>
    </row>
    <row r="18" spans="1:41" ht="18" customHeight="1">
      <c r="A18" s="89">
        <f t="shared" si="4"/>
        <v>15</v>
      </c>
      <c r="B18" s="285"/>
      <c r="C18" s="178" t="s">
        <v>190</v>
      </c>
      <c r="D18" s="112" t="s">
        <v>191</v>
      </c>
      <c r="E18" s="245"/>
      <c r="F18" s="90" t="s">
        <v>174</v>
      </c>
      <c r="G18" s="94"/>
      <c r="H18" s="74"/>
      <c r="I18" s="74"/>
      <c r="J18" s="74"/>
      <c r="K18" s="74"/>
      <c r="L18" s="74"/>
      <c r="M18" s="82"/>
      <c r="N18" s="82"/>
      <c r="O18" s="82">
        <v>2</v>
      </c>
      <c r="P18" s="82">
        <v>5</v>
      </c>
      <c r="Q18" s="82">
        <v>2</v>
      </c>
      <c r="R18" s="82"/>
      <c r="S18" s="82">
        <v>1</v>
      </c>
      <c r="T18" s="82">
        <v>2</v>
      </c>
      <c r="U18" s="82">
        <v>2</v>
      </c>
      <c r="V18" s="83">
        <f t="shared" si="0"/>
        <v>14</v>
      </c>
      <c r="W18" s="42">
        <f t="shared" si="3"/>
        <v>7</v>
      </c>
      <c r="X18" s="42">
        <f>V18 + (V18 * (SUBSTITUTE(SUBSTITUTE($X$2, "Pessimistic (", ""), "%)", "") / 100))</f>
        <v>15.4</v>
      </c>
      <c r="Y18" s="84">
        <f t="shared" si="1"/>
        <v>13.066666666666668</v>
      </c>
      <c r="Z18" s="174">
        <f t="shared" si="2"/>
        <v>6.5333333333333341</v>
      </c>
      <c r="AA18" s="186"/>
      <c r="AB18" s="186"/>
      <c r="AC18" s="186"/>
      <c r="AD18" s="187"/>
      <c r="AE18" s="206">
        <f>IF($Z18="",0,IF($M18="",0,$M18))</f>
        <v>0</v>
      </c>
      <c r="AF18" s="206">
        <f>IF(OR($Z18="",$N18=""),0,$Z18*5%)</f>
        <v>0</v>
      </c>
      <c r="AG18" s="206">
        <f>IF(OR($Z18="",$O18=""),0,$Z18*10%)</f>
        <v>0.65333333333333343</v>
      </c>
      <c r="AH18" s="206">
        <f>IF($Z18="",0,IF(AND($P18="",$Q18=""),($Z18-$AE18-$AF18-$AG18-$AJ18-$AK18-$AL18-$AM18),IF($P18="",0,IF($Q18="",($Z18-$AE18-$AF18-$AG18-$AJ18-$AK18-$AL18-$AM18),($Z18-$AE18-$AF18-$AG18-$AJ18-$AK18-$AL18-$AM18)-$AI18))))</f>
        <v>1.97948717948718</v>
      </c>
      <c r="AI18" s="206">
        <f>IF($Z18="",0,IF(AND($P18="",$Q18=""),0,IF($Q18="",0,IF($P18="",($Z18-$AE18-$AF18-$AG18-$AJ18-$AK18-$AL18-$AM18),($Z18-$AE18-$AF18-$AG18-$AJ18-$AK18-$AL18-$AM18)*15%/(50%+15%)))))</f>
        <v>0.59384615384615402</v>
      </c>
      <c r="AJ18" s="206">
        <f>IF($Z18="",0,IF($R18="",0,$R18))</f>
        <v>0</v>
      </c>
      <c r="AK18" s="206">
        <f>IF(OR($Z18="",$S18=""),0,$Z18*10%)</f>
        <v>0.65333333333333343</v>
      </c>
      <c r="AL18" s="206">
        <f>IF(OR($Z18="",$T18=""),0,$Z18*10%)</f>
        <v>0.65333333333333343</v>
      </c>
      <c r="AM18" s="206">
        <f>IF($Z18="",0,IF($U18="",0,$U18))</f>
        <v>2</v>
      </c>
    </row>
    <row r="19" spans="1:41" ht="18" hidden="1" customHeight="1">
      <c r="A19" s="89">
        <f>IF(D19="","",A18+1)</f>
        <v>16</v>
      </c>
      <c r="B19" s="285"/>
      <c r="C19" s="285" t="s">
        <v>140</v>
      </c>
      <c r="D19" s="107" t="s">
        <v>192</v>
      </c>
      <c r="E19" s="244"/>
      <c r="F19" s="90" t="s">
        <v>154</v>
      </c>
      <c r="G19" s="94"/>
      <c r="H19" s="74"/>
      <c r="I19" s="74"/>
      <c r="J19" s="74"/>
      <c r="K19" s="74"/>
      <c r="L19" s="74"/>
      <c r="M19" s="82"/>
      <c r="N19" s="82"/>
      <c r="O19" s="82"/>
      <c r="P19" s="82"/>
      <c r="Q19" s="82"/>
      <c r="R19" s="82"/>
      <c r="S19" s="82"/>
      <c r="T19" s="82"/>
      <c r="U19" s="82">
        <v>2</v>
      </c>
      <c r="V19" s="83">
        <f t="shared" si="0"/>
        <v>2</v>
      </c>
      <c r="W19" s="42">
        <f t="shared" si="3"/>
        <v>1</v>
      </c>
      <c r="X19" s="42">
        <f>V19 + (V19 * (SUBSTITUTE(SUBSTITUTE($X$2, "Pessimistic (", ""), "%)", "") / 100))</f>
        <v>2.2000000000000002</v>
      </c>
      <c r="Y19" s="84">
        <f t="shared" si="1"/>
        <v>1.8666666666666665</v>
      </c>
      <c r="Z19" s="174">
        <f t="shared" si="2"/>
        <v>0.93333333333333324</v>
      </c>
      <c r="AA19" s="186"/>
      <c r="AB19" s="186"/>
      <c r="AC19" s="186"/>
      <c r="AD19" s="187"/>
      <c r="AE19" s="206">
        <f>IF($Z19="",0,IF($M19="",0,$M19))</f>
        <v>0</v>
      </c>
      <c r="AF19" s="206">
        <f>IF(OR($Z19="",$N19=""),0,$Z19*5%)</f>
        <v>0</v>
      </c>
      <c r="AG19" s="206">
        <f>IF(OR($Z19="",$O19=""),0,$Z19*10%)</f>
        <v>0</v>
      </c>
      <c r="AH19" s="206">
        <f>IF($Z19="",0,IF(AND($P19="",$Q19=""),($Z19-$AE19-$AF19-$AG19-$AJ19-$AK19-$AL19-$AM19),IF($P19="",0,IF($Q19="",($Z19-$AE19-$AF19-$AG19-$AJ19-$AK19-$AL19-$AM19),($Z19-$AE19-$AF19-$AG19-$AJ19-$AK19-$AL19-$AM19)-$AI19))))</f>
        <v>-1.0666666666666669</v>
      </c>
      <c r="AI19" s="206">
        <f>IF($Z19="",0,IF(AND($P19="",$Q19=""),0,IF($Q19="",0,IF($P19="",($Z19-$AE19-$AF19-$AG19-$AJ19-$AK19-$AL19-$AM19),($Z19-$AE19-$AF19-$AG19-$AJ19-$AK19-$AL19-$AM19)*15%/(50%+15%)))))</f>
        <v>0</v>
      </c>
      <c r="AJ19" s="206">
        <f>IF($Z19="",0,IF($R19="",0,$R19))</f>
        <v>0</v>
      </c>
      <c r="AK19" s="206">
        <f>IF(OR($Z19="",$S19=""),0,$Z19*10%)</f>
        <v>0</v>
      </c>
      <c r="AL19" s="206">
        <f>IF(OR($Z19="",$T19=""),0,$Z19*10%)</f>
        <v>0</v>
      </c>
      <c r="AM19" s="206">
        <f>IF($Z19="",0,IF($U19="",0,$U19))</f>
        <v>2</v>
      </c>
    </row>
    <row r="20" spans="1:41" ht="18" hidden="1" customHeight="1">
      <c r="A20" s="89">
        <f t="shared" si="4"/>
        <v>17</v>
      </c>
      <c r="B20" s="285"/>
      <c r="C20" s="285"/>
      <c r="D20" s="107" t="s">
        <v>193</v>
      </c>
      <c r="E20" s="244"/>
      <c r="F20" s="90" t="s">
        <v>154</v>
      </c>
      <c r="G20" s="94"/>
      <c r="H20" s="74"/>
      <c r="I20" s="74"/>
      <c r="J20" s="74"/>
      <c r="K20" s="74"/>
      <c r="L20" s="74"/>
      <c r="M20" s="82"/>
      <c r="N20" s="82"/>
      <c r="O20" s="82"/>
      <c r="P20" s="82"/>
      <c r="Q20" s="82"/>
      <c r="R20" s="82"/>
      <c r="S20" s="82"/>
      <c r="T20" s="82"/>
      <c r="U20" s="82">
        <v>2</v>
      </c>
      <c r="V20" s="83">
        <f t="shared" si="0"/>
        <v>2</v>
      </c>
      <c r="W20" s="42">
        <f t="shared" si="3"/>
        <v>1</v>
      </c>
      <c r="X20" s="42">
        <f>V20 + (V20 * (SUBSTITUTE(SUBSTITUTE($X$2, "Pessimistic (", ""), "%)", "") / 100))</f>
        <v>2.2000000000000002</v>
      </c>
      <c r="Y20" s="84">
        <f t="shared" si="1"/>
        <v>1.8666666666666665</v>
      </c>
      <c r="Z20" s="174">
        <f t="shared" si="2"/>
        <v>0.93333333333333324</v>
      </c>
      <c r="AA20" s="186"/>
      <c r="AB20" s="186"/>
      <c r="AC20" s="186"/>
      <c r="AD20" s="187"/>
      <c r="AE20" s="206">
        <f>IF($Z20="",0,IF($M20="",0,$M20))</f>
        <v>0</v>
      </c>
      <c r="AF20" s="206">
        <f>IF(OR($Z20="",$N20=""),0,$Z20*5%)</f>
        <v>0</v>
      </c>
      <c r="AG20" s="206">
        <f>IF(OR($Z20="",$O20=""),0,$Z20*10%)</f>
        <v>0</v>
      </c>
      <c r="AH20" s="206">
        <f>IF($Z20="",0,IF(AND($P20="",$Q20=""),($Z20-$AE20-$AF20-$AG20-$AJ20-$AK20-$AL20-$AM20),IF($P20="",0,IF($Q20="",($Z20-$AE20-$AF20-$AG20-$AJ20-$AK20-$AL20-$AM20),($Z20-$AE20-$AF20-$AG20-$AJ20-$AK20-$AL20-$AM20)-$AI20))))</f>
        <v>-1.0666666666666669</v>
      </c>
      <c r="AI20" s="206">
        <f>IF($Z20="",0,IF(AND($P20="",$Q20=""),0,IF($Q20="",0,IF($P20="",($Z20-$AE20-$AF20-$AG20-$AJ20-$AK20-$AL20-$AM20),($Z20-$AE20-$AF20-$AG20-$AJ20-$AK20-$AL20-$AM20)*15%/(50%+15%)))))</f>
        <v>0</v>
      </c>
      <c r="AJ20" s="206">
        <f>IF($Z20="",0,IF($R20="",0,$R20))</f>
        <v>0</v>
      </c>
      <c r="AK20" s="206">
        <f>IF(OR($Z20="",$S20=""),0,$Z20*10%)</f>
        <v>0</v>
      </c>
      <c r="AL20" s="206">
        <f>IF(OR($Z20="",$T20=""),0,$Z20*10%)</f>
        <v>0</v>
      </c>
      <c r="AM20" s="206">
        <f>IF($Z20="",0,IF($U20="",0,$U20))</f>
        <v>2</v>
      </c>
    </row>
    <row r="21" spans="1:41" ht="18" hidden="1" customHeight="1">
      <c r="A21" s="89">
        <f t="shared" si="4"/>
        <v>18</v>
      </c>
      <c r="B21" s="285"/>
      <c r="C21" s="285"/>
      <c r="D21" s="107" t="s">
        <v>194</v>
      </c>
      <c r="E21" s="244"/>
      <c r="F21" s="90" t="s">
        <v>154</v>
      </c>
      <c r="G21" s="94"/>
      <c r="H21" s="74"/>
      <c r="I21" s="74"/>
      <c r="J21" s="74"/>
      <c r="K21" s="74"/>
      <c r="L21" s="74"/>
      <c r="M21" s="82"/>
      <c r="N21" s="82"/>
      <c r="O21" s="82"/>
      <c r="P21" s="82"/>
      <c r="Q21" s="82"/>
      <c r="R21" s="82"/>
      <c r="S21" s="82"/>
      <c r="T21" s="82"/>
      <c r="U21" s="82">
        <v>2</v>
      </c>
      <c r="V21" s="83">
        <f t="shared" si="0"/>
        <v>2</v>
      </c>
      <c r="W21" s="42">
        <f t="shared" si="3"/>
        <v>1</v>
      </c>
      <c r="X21" s="42">
        <f>V21 + (V21 * (SUBSTITUTE(SUBSTITUTE($X$2, "Pessimistic (", ""), "%)", "") / 100))</f>
        <v>2.2000000000000002</v>
      </c>
      <c r="Y21" s="84">
        <f t="shared" si="1"/>
        <v>1.8666666666666665</v>
      </c>
      <c r="Z21" s="174">
        <f t="shared" si="2"/>
        <v>0.93333333333333324</v>
      </c>
      <c r="AA21" s="186"/>
      <c r="AB21" s="186"/>
      <c r="AC21" s="186"/>
      <c r="AD21" s="187"/>
      <c r="AE21" s="206">
        <f>IF($Z21="",0,IF($M21="",0,$M21))</f>
        <v>0</v>
      </c>
      <c r="AF21" s="206">
        <f>IF(OR($Z21="",$N21=""),0,$Z21*5%)</f>
        <v>0</v>
      </c>
      <c r="AG21" s="206">
        <f>IF(OR($Z21="",$O21=""),0,$Z21*10%)</f>
        <v>0</v>
      </c>
      <c r="AH21" s="206">
        <f>IF($Z21="",0,IF(AND($P21="",$Q21=""),($Z21-$AE21-$AF21-$AG21-$AJ21-$AK21-$AL21-$AM21),IF($P21="",0,IF($Q21="",($Z21-$AE21-$AF21-$AG21-$AJ21-$AK21-$AL21-$AM21),($Z21-$AE21-$AF21-$AG21-$AJ21-$AK21-$AL21-$AM21)-$AI21))))</f>
        <v>-1.0666666666666669</v>
      </c>
      <c r="AI21" s="206">
        <f>IF($Z21="",0,IF(AND($P21="",$Q21=""),0,IF($Q21="",0,IF($P21="",($Z21-$AE21-$AF21-$AG21-$AJ21-$AK21-$AL21-$AM21),($Z21-$AE21-$AF21-$AG21-$AJ21-$AK21-$AL21-$AM21)*15%/(50%+15%)))))</f>
        <v>0</v>
      </c>
      <c r="AJ21" s="206">
        <f>IF($Z21="",0,IF($R21="",0,$R21))</f>
        <v>0</v>
      </c>
      <c r="AK21" s="206">
        <f>IF(OR($Z21="",$S21=""),0,$Z21*10%)</f>
        <v>0</v>
      </c>
      <c r="AL21" s="206">
        <f>IF(OR($Z21="",$T21=""),0,$Z21*10%)</f>
        <v>0</v>
      </c>
      <c r="AM21" s="206">
        <f>IF($Z21="",0,IF($U21="",0,$U21))</f>
        <v>2</v>
      </c>
    </row>
    <row r="22" spans="1:41" ht="18" customHeight="1">
      <c r="A22" s="89">
        <f t="shared" si="4"/>
        <v>19</v>
      </c>
      <c r="B22" s="290" t="s">
        <v>162</v>
      </c>
      <c r="C22" s="85" t="s">
        <v>195</v>
      </c>
      <c r="D22" s="98" t="s">
        <v>196</v>
      </c>
      <c r="E22" s="263" t="s">
        <v>197</v>
      </c>
      <c r="F22" s="90" t="s">
        <v>174</v>
      </c>
      <c r="G22" s="94"/>
      <c r="H22" s="74"/>
      <c r="I22" s="74"/>
      <c r="J22" s="74"/>
      <c r="K22" s="74"/>
      <c r="L22" s="74"/>
      <c r="M22" s="82"/>
      <c r="N22" s="82"/>
      <c r="O22" s="82">
        <v>5</v>
      </c>
      <c r="P22" s="82">
        <v>6</v>
      </c>
      <c r="Q22" s="82">
        <v>3</v>
      </c>
      <c r="R22" s="82"/>
      <c r="S22" s="82">
        <v>3</v>
      </c>
      <c r="T22" s="82">
        <v>5</v>
      </c>
      <c r="U22" s="82">
        <v>2</v>
      </c>
      <c r="V22" s="83">
        <f t="shared" si="0"/>
        <v>24</v>
      </c>
      <c r="W22" s="42">
        <f t="shared" si="3"/>
        <v>12</v>
      </c>
      <c r="X22" s="42">
        <f>V22 + (V22 * (SUBSTITUTE(SUBSTITUTE($X$2, "Pessimistic (", ""), "%)", "") / 100))</f>
        <v>26.4</v>
      </c>
      <c r="Y22" s="84">
        <f t="shared" si="1"/>
        <v>22.400000000000002</v>
      </c>
      <c r="Z22" s="174">
        <f t="shared" si="2"/>
        <v>11.200000000000001</v>
      </c>
      <c r="AA22" s="185">
        <v>46227</v>
      </c>
      <c r="AB22" s="185"/>
      <c r="AC22" s="186"/>
      <c r="AD22" s="187"/>
      <c r="AE22" s="206">
        <f>IF($Z22="",0,IF($M22="",0,$M22))</f>
        <v>0</v>
      </c>
      <c r="AF22" s="206">
        <f>IF(OR($Z22="",$N22=""),0,$Z22*5%)</f>
        <v>0</v>
      </c>
      <c r="AG22" s="206">
        <f>IF(OR($Z22="",$O22=""),0,$Z22*10%)</f>
        <v>1.1200000000000001</v>
      </c>
      <c r="AH22" s="206">
        <f>IF($Z22="",0,IF(AND($P22="",$Q22=""),($Z22-$AE22-$AF22-$AG22-$AJ22-$AK22-$AL22-$AM22),IF($P22="",0,IF($Q22="",($Z22-$AE22-$AF22-$AG22-$AJ22-$AK22-$AL22-$AM22),($Z22-$AE22-$AF22-$AG22-$AJ22-$AK22-$AL22-$AM22)-$AI22))))</f>
        <v>4.4923076923076932</v>
      </c>
      <c r="AI22" s="206">
        <f>IF($Z22="",0,IF(AND($P22="",$Q22=""),0,IF($Q22="",0,IF($P22="",($Z22-$AE22-$AF22-$AG22-$AJ22-$AK22-$AL22-$AM22),($Z22-$AE22-$AF22-$AG22-$AJ22-$AK22-$AL22-$AM22)*15%/(50%+15%)))))</f>
        <v>1.3476923076923077</v>
      </c>
      <c r="AJ22" s="206">
        <f>IF($Z22="",0,IF($R22="",0,$R22))</f>
        <v>0</v>
      </c>
      <c r="AK22" s="206">
        <f>IF(OR($Z22="",$S22=""),0,$Z22*10%)</f>
        <v>1.1200000000000001</v>
      </c>
      <c r="AL22" s="206">
        <f>IF(OR($Z22="",$T22=""),0,$Z22*10%)</f>
        <v>1.1200000000000001</v>
      </c>
      <c r="AM22" s="206">
        <f>IF($Z22="",0,IF($U22="",0,$U22))</f>
        <v>2</v>
      </c>
    </row>
    <row r="23" spans="1:41" ht="18" customHeight="1">
      <c r="A23" s="89">
        <f t="shared" si="4"/>
        <v>20</v>
      </c>
      <c r="B23" s="290"/>
      <c r="C23" s="285" t="s">
        <v>198</v>
      </c>
      <c r="D23" s="98" t="s">
        <v>199</v>
      </c>
      <c r="E23" s="246"/>
      <c r="F23" s="90" t="s">
        <v>174</v>
      </c>
      <c r="G23" s="94"/>
      <c r="H23" s="74"/>
      <c r="I23" s="74"/>
      <c r="J23" s="74"/>
      <c r="K23" s="74"/>
      <c r="L23" s="74"/>
      <c r="M23" s="82"/>
      <c r="N23" s="82"/>
      <c r="O23" s="82">
        <v>3</v>
      </c>
      <c r="P23" s="82">
        <v>5</v>
      </c>
      <c r="Q23" s="82">
        <v>4</v>
      </c>
      <c r="R23" s="82"/>
      <c r="S23" s="82">
        <v>1</v>
      </c>
      <c r="T23" s="82">
        <v>3</v>
      </c>
      <c r="U23" s="82">
        <v>2</v>
      </c>
      <c r="V23" s="83">
        <f t="shared" si="0"/>
        <v>18</v>
      </c>
      <c r="W23" s="42">
        <f t="shared" si="3"/>
        <v>9</v>
      </c>
      <c r="X23" s="42">
        <f>V23 + (V23 * (SUBSTITUTE(SUBSTITUTE($X$2, "Pessimistic (", ""), "%)", "") / 100))</f>
        <v>19.8</v>
      </c>
      <c r="Y23" s="84">
        <f t="shared" si="1"/>
        <v>16.8</v>
      </c>
      <c r="Z23" s="174">
        <f t="shared" si="2"/>
        <v>8.4</v>
      </c>
      <c r="AA23" s="185"/>
      <c r="AB23" s="185"/>
      <c r="AC23" s="186"/>
      <c r="AD23" s="187"/>
      <c r="AE23" s="206">
        <f>IF($Z23="",0,IF($M23="",0,$M23))</f>
        <v>0</v>
      </c>
      <c r="AF23" s="206">
        <f>IF(OR($Z23="",$N23=""),0,$Z23*5%)</f>
        <v>0</v>
      </c>
      <c r="AG23" s="206">
        <f>IF(OR($Z23="",$O23=""),0,$Z23*10%)</f>
        <v>0.84000000000000008</v>
      </c>
      <c r="AH23" s="206">
        <f>IF($Z23="",0,IF(AND($P23="",$Q23=""),($Z23-$AE23-$AF23-$AG23-$AJ23-$AK23-$AL23-$AM23),IF($P23="",0,IF($Q23="",($Z23-$AE23-$AF23-$AG23-$AJ23-$AK23-$AL23-$AM23),($Z23-$AE23-$AF23-$AG23-$AJ23-$AK23-$AL23-$AM23)-$AI23))))</f>
        <v>2.9846153846153856</v>
      </c>
      <c r="AI23" s="206">
        <f>IF($Z23="",0,IF(AND($P23="",$Q23=""),0,IF($Q23="",0,IF($P23="",($Z23-$AE23-$AF23-$AG23-$AJ23-$AK23-$AL23-$AM23),($Z23-$AE23-$AF23-$AG23-$AJ23-$AK23-$AL23-$AM23)*15%/(50%+15%)))))</f>
        <v>0.89538461538461545</v>
      </c>
      <c r="AJ23" s="206">
        <f>IF($Z23="",0,IF($R23="",0,$R23))</f>
        <v>0</v>
      </c>
      <c r="AK23" s="206">
        <f>IF(OR($Z23="",$S23=""),0,$Z23*10%)</f>
        <v>0.84000000000000008</v>
      </c>
      <c r="AL23" s="206">
        <f>IF(OR($Z23="",$T23=""),0,$Z23*10%)</f>
        <v>0.84000000000000008</v>
      </c>
      <c r="AM23" s="206">
        <f>IF($Z23="",0,IF($U23="",0,$U23))</f>
        <v>2</v>
      </c>
    </row>
    <row r="24" spans="1:41" ht="18" customHeight="1">
      <c r="A24" s="89">
        <f t="shared" si="4"/>
        <v>21</v>
      </c>
      <c r="B24" s="290"/>
      <c r="C24" s="285"/>
      <c r="D24" s="98" t="s">
        <v>200</v>
      </c>
      <c r="E24" s="246"/>
      <c r="F24" s="90" t="s">
        <v>174</v>
      </c>
      <c r="G24" s="94"/>
      <c r="H24" s="74"/>
      <c r="I24" s="74"/>
      <c r="J24" s="74"/>
      <c r="K24" s="74"/>
      <c r="L24" s="74"/>
      <c r="M24" s="82"/>
      <c r="N24" s="82"/>
      <c r="O24" s="82">
        <v>3</v>
      </c>
      <c r="P24" s="82">
        <v>3</v>
      </c>
      <c r="Q24" s="82">
        <v>2</v>
      </c>
      <c r="R24" s="82"/>
      <c r="S24" s="82">
        <v>1</v>
      </c>
      <c r="T24" s="82">
        <v>3</v>
      </c>
      <c r="U24" s="82">
        <v>2</v>
      </c>
      <c r="V24" s="83">
        <f t="shared" si="0"/>
        <v>14</v>
      </c>
      <c r="W24" s="42">
        <f t="shared" si="3"/>
        <v>7</v>
      </c>
      <c r="X24" s="42">
        <f>V24 + (V24 * (SUBSTITUTE(SUBSTITUTE($X$2, "Pessimistic (", ""), "%)", "") / 100))</f>
        <v>15.4</v>
      </c>
      <c r="Y24" s="84">
        <f t="shared" si="1"/>
        <v>13.066666666666668</v>
      </c>
      <c r="Z24" s="174">
        <f t="shared" si="2"/>
        <v>6.5333333333333341</v>
      </c>
      <c r="AA24" s="185"/>
      <c r="AB24" s="185"/>
      <c r="AC24" s="186"/>
      <c r="AD24" s="187"/>
      <c r="AE24" s="206">
        <f>IF($Z24="",0,IF($M24="",0,$M24))</f>
        <v>0</v>
      </c>
      <c r="AF24" s="206">
        <f>IF(OR($Z24="",$N24=""),0,$Z24*5%)</f>
        <v>0</v>
      </c>
      <c r="AG24" s="206">
        <f>IF(OR($Z24="",$O24=""),0,$Z24*10%)</f>
        <v>0.65333333333333343</v>
      </c>
      <c r="AH24" s="206">
        <f>IF($Z24="",0,IF(AND($P24="",$Q24=""),($Z24-$AE24-$AF24-$AG24-$AJ24-$AK24-$AL24-$AM24),IF($P24="",0,IF($Q24="",($Z24-$AE24-$AF24-$AG24-$AJ24-$AK24-$AL24-$AM24),($Z24-$AE24-$AF24-$AG24-$AJ24-$AK24-$AL24-$AM24)-$AI24))))</f>
        <v>1.97948717948718</v>
      </c>
      <c r="AI24" s="206">
        <f>IF($Z24="",0,IF(AND($P24="",$Q24=""),0,IF($Q24="",0,IF($P24="",($Z24-$AE24-$AF24-$AG24-$AJ24-$AK24-$AL24-$AM24),($Z24-$AE24-$AF24-$AG24-$AJ24-$AK24-$AL24-$AM24)*15%/(50%+15%)))))</f>
        <v>0.59384615384615402</v>
      </c>
      <c r="AJ24" s="206">
        <f>IF($Z24="",0,IF($R24="",0,$R24))</f>
        <v>0</v>
      </c>
      <c r="AK24" s="206">
        <f>IF(OR($Z24="",$S24=""),0,$Z24*10%)</f>
        <v>0.65333333333333343</v>
      </c>
      <c r="AL24" s="206">
        <f>IF(OR($Z24="",$T24=""),0,$Z24*10%)</f>
        <v>0.65333333333333343</v>
      </c>
      <c r="AM24" s="206">
        <f>IF($Z24="",0,IF($U24="",0,$U24))</f>
        <v>2</v>
      </c>
    </row>
    <row r="25" spans="1:41" ht="18" customHeight="1">
      <c r="A25" s="89">
        <f t="shared" si="4"/>
        <v>22</v>
      </c>
      <c r="B25" s="290"/>
      <c r="C25" s="285"/>
      <c r="D25" s="106" t="s">
        <v>201</v>
      </c>
      <c r="E25" s="247"/>
      <c r="F25" s="90" t="s">
        <v>174</v>
      </c>
      <c r="G25" s="94"/>
      <c r="H25" s="74"/>
      <c r="I25" s="74"/>
      <c r="J25" s="74"/>
      <c r="K25" s="74"/>
      <c r="L25" s="74"/>
      <c r="M25" s="82"/>
      <c r="N25" s="82"/>
      <c r="O25" s="82">
        <v>4</v>
      </c>
      <c r="P25" s="82">
        <v>10</v>
      </c>
      <c r="Q25" s="82">
        <v>5</v>
      </c>
      <c r="R25" s="82"/>
      <c r="S25" s="82">
        <v>3</v>
      </c>
      <c r="T25" s="82">
        <v>6</v>
      </c>
      <c r="U25" s="82">
        <v>2</v>
      </c>
      <c r="V25" s="83">
        <f t="shared" si="0"/>
        <v>30</v>
      </c>
      <c r="W25" s="42">
        <f t="shared" si="3"/>
        <v>15</v>
      </c>
      <c r="X25" s="42">
        <f>V25 + (V25 * (SUBSTITUTE(SUBSTITUTE($X$2, "Pessimistic (", ""), "%)", "") / 100))</f>
        <v>33</v>
      </c>
      <c r="Y25" s="84">
        <f t="shared" si="1"/>
        <v>28</v>
      </c>
      <c r="Z25" s="174">
        <f t="shared" si="2"/>
        <v>14</v>
      </c>
      <c r="AA25" s="186"/>
      <c r="AB25" s="186"/>
      <c r="AC25" s="186"/>
      <c r="AD25" s="187"/>
      <c r="AE25" s="206">
        <f>IF($Z25="",0,IF($M25="",0,$M25))</f>
        <v>0</v>
      </c>
      <c r="AF25" s="206">
        <f>IF(OR($Z25="",$N25=""),0,$Z25*5%)</f>
        <v>0</v>
      </c>
      <c r="AG25" s="206">
        <f>IF(OR($Z25="",$O25=""),0,$Z25*10%)</f>
        <v>1.4000000000000001</v>
      </c>
      <c r="AH25" s="206">
        <f>IF($Z25="",0,IF(AND($P25="",$Q25=""),($Z25-$AE25-$AF25-$AG25-$AJ25-$AK25-$AL25-$AM25),IF($P25="",0,IF($Q25="",($Z25-$AE25-$AF25-$AG25-$AJ25-$AK25-$AL25-$AM25),($Z25-$AE25-$AF25-$AG25-$AJ25-$AK25-$AL25-$AM25)-$AI25))))</f>
        <v>6</v>
      </c>
      <c r="AI25" s="206">
        <f>IF($Z25="",0,IF(AND($P25="",$Q25=""),0,IF($Q25="",0,IF($P25="",($Z25-$AE25-$AF25-$AG25-$AJ25-$AK25-$AL25-$AM25),($Z25-$AE25-$AF25-$AG25-$AJ25-$AK25-$AL25-$AM25)*15%/(50%+15%)))))</f>
        <v>1.7999999999999994</v>
      </c>
      <c r="AJ25" s="206">
        <f>IF($Z25="",0,IF($R25="",0,$R25))</f>
        <v>0</v>
      </c>
      <c r="AK25" s="206">
        <f>IF(OR($Z25="",$S25=""),0,$Z25*10%)</f>
        <v>1.4000000000000001</v>
      </c>
      <c r="AL25" s="206">
        <f>IF(OR($Z25="",$T25=""),0,$Z25*10%)</f>
        <v>1.4000000000000001</v>
      </c>
      <c r="AM25" s="206">
        <f>IF($Z25="",0,IF($U25="",0,$U25))</f>
        <v>2</v>
      </c>
      <c r="AO25" s="76" t="s">
        <v>202</v>
      </c>
    </row>
    <row r="26" spans="1:41" ht="18" customHeight="1">
      <c r="A26" s="89">
        <f t="shared" si="4"/>
        <v>23</v>
      </c>
      <c r="B26" s="290"/>
      <c r="C26" s="285" t="s">
        <v>203</v>
      </c>
      <c r="D26" s="96" t="s">
        <v>204</v>
      </c>
      <c r="E26" s="253" t="s">
        <v>205</v>
      </c>
      <c r="F26" s="90" t="s">
        <v>174</v>
      </c>
      <c r="G26" s="94"/>
      <c r="H26" s="74"/>
      <c r="I26" s="74"/>
      <c r="J26" s="74"/>
      <c r="K26" s="74"/>
      <c r="L26" s="74"/>
      <c r="M26" s="82"/>
      <c r="N26" s="82"/>
      <c r="O26" s="82">
        <v>5</v>
      </c>
      <c r="P26" s="82">
        <v>15</v>
      </c>
      <c r="Q26" s="82">
        <v>5</v>
      </c>
      <c r="R26" s="82"/>
      <c r="S26" s="82"/>
      <c r="T26" s="82"/>
      <c r="U26" s="82">
        <v>2</v>
      </c>
      <c r="V26" s="83">
        <f t="shared" si="0"/>
        <v>27</v>
      </c>
      <c r="W26" s="42">
        <f t="shared" si="3"/>
        <v>13.5</v>
      </c>
      <c r="X26" s="42">
        <f>V26 + (V26 * (SUBSTITUTE(SUBSTITUTE($X$2, "Pessimistic (", ""), "%)", "") / 100))</f>
        <v>29.7</v>
      </c>
      <c r="Y26" s="84">
        <f t="shared" si="1"/>
        <v>25.2</v>
      </c>
      <c r="Z26" s="174">
        <f t="shared" si="2"/>
        <v>12.6</v>
      </c>
      <c r="AA26" s="185">
        <v>46160</v>
      </c>
      <c r="AB26" s="185">
        <v>46171</v>
      </c>
      <c r="AC26" s="185">
        <v>46174</v>
      </c>
      <c r="AD26" s="185">
        <v>46176</v>
      </c>
      <c r="AE26" s="206">
        <f>IF($Z26="",0,IF($M26="",0,$M26))</f>
        <v>0</v>
      </c>
      <c r="AF26" s="206">
        <f>IF(OR($Z26="",$N26=""),0,$Z26*5%)</f>
        <v>0</v>
      </c>
      <c r="AG26" s="206">
        <f>IF(OR($Z26="",$O26=""),0,$Z26*10%)</f>
        <v>1.26</v>
      </c>
      <c r="AH26" s="206">
        <f>IF($Z26="",0,IF(AND($P26="",$Q26=""),($Z26-$AE26-$AF26-$AG26-$AJ26-$AK26-$AL26-$AM26),IF($P26="",0,IF($Q26="",($Z26-$AE26-$AF26-$AG26-$AJ26-$AK26-$AL26-$AM26),($Z26-$AE26-$AF26-$AG26-$AJ26-$AK26-$AL26-$AM26)-$AI26))))</f>
        <v>7.184615384615384</v>
      </c>
      <c r="AI26" s="206">
        <f>IF($Z26="",0,IF(AND($P26="",$Q26=""),0,IF($Q26="",0,IF($P26="",($Z26-$AE26-$AF26-$AG26-$AJ26-$AK26-$AL26-$AM26),($Z26-$AE26-$AF26-$AG26-$AJ26-$AK26-$AL26-$AM26)*15%/(50%+15%)))))</f>
        <v>2.1553846153846155</v>
      </c>
      <c r="AJ26" s="206">
        <f>IF($Z26="",0,IF($R26="",0,$R26))</f>
        <v>0</v>
      </c>
      <c r="AK26" s="206">
        <f>IF(OR($Z26="",$S26=""),0,$Z26*10%)</f>
        <v>0</v>
      </c>
      <c r="AL26" s="206">
        <f>IF(OR($Z26="",$T26=""),0,$Z26*10%)</f>
        <v>0</v>
      </c>
      <c r="AM26" s="206">
        <f>IF($Z26="",0,IF($U26="",0,$U26))</f>
        <v>2</v>
      </c>
    </row>
    <row r="27" spans="1:41" ht="18" customHeight="1">
      <c r="A27" s="89">
        <f t="shared" si="4"/>
        <v>24</v>
      </c>
      <c r="B27" s="290"/>
      <c r="C27" s="285"/>
      <c r="D27" s="96" t="s">
        <v>206</v>
      </c>
      <c r="E27" s="253" t="s">
        <v>207</v>
      </c>
      <c r="F27" s="90" t="s">
        <v>174</v>
      </c>
      <c r="G27" s="94"/>
      <c r="H27" s="74"/>
      <c r="I27" s="74"/>
      <c r="J27" s="74"/>
      <c r="K27" s="74"/>
      <c r="L27" s="74"/>
      <c r="M27" s="82"/>
      <c r="N27" s="82"/>
      <c r="O27" s="82">
        <v>5</v>
      </c>
      <c r="P27" s="82">
        <f>12+3</f>
        <v>15</v>
      </c>
      <c r="Q27" s="82">
        <v>5</v>
      </c>
      <c r="R27" s="82"/>
      <c r="S27" s="82">
        <v>2</v>
      </c>
      <c r="T27" s="82">
        <v>5</v>
      </c>
      <c r="U27" s="82">
        <v>2</v>
      </c>
      <c r="V27" s="83">
        <f>SUM(M27:U27)</f>
        <v>34</v>
      </c>
      <c r="W27" s="42">
        <f t="shared" si="3"/>
        <v>17</v>
      </c>
      <c r="X27" s="42">
        <f>V27 + (V27 * (SUBSTITUTE(SUBSTITUTE($X$2, "Pessimistic (", ""), "%)", "") / 100))</f>
        <v>37.4</v>
      </c>
      <c r="Y27" s="84">
        <f>(W27+(4*V27)+X27)/6</f>
        <v>31.733333333333334</v>
      </c>
      <c r="Z27" s="174">
        <f t="shared" si="2"/>
        <v>15.866666666666667</v>
      </c>
      <c r="AA27" s="185">
        <v>46177</v>
      </c>
      <c r="AB27" s="185">
        <v>46190</v>
      </c>
      <c r="AC27" s="185">
        <v>46191</v>
      </c>
      <c r="AD27" s="185">
        <v>46195</v>
      </c>
      <c r="AE27" s="206">
        <f>IF($Z27="",0,IF($M27="",0,$M27))</f>
        <v>0</v>
      </c>
      <c r="AF27" s="206">
        <f>IF(OR($Z27="",$N27=""),0,$Z27*5%)</f>
        <v>0</v>
      </c>
      <c r="AG27" s="206">
        <f>IF(OR($Z27="",$O27=""),0,$Z27*10%)</f>
        <v>1.5866666666666669</v>
      </c>
      <c r="AH27" s="206">
        <f>IF($Z27="",0,IF(AND($P27="",$Q27=""),($Z27-$AE27-$AF27-$AG27-$AJ27-$AK27-$AL27-$AM27),IF($P27="",0,IF($Q27="",($Z27-$AE27-$AF27-$AG27-$AJ27-$AK27-$AL27-$AM27),($Z27-$AE27-$AF27-$AG27-$AJ27-$AK27-$AL27-$AM27)-$AI27))))</f>
        <v>7.0051282051282069</v>
      </c>
      <c r="AI27" s="206">
        <f>IF($Z27="",0,IF(AND($P27="",$Q27=""),0,IF($Q27="",0,IF($P27="",($Z27-$AE27-$AF27-$AG27-$AJ27-$AK27-$AL27-$AM27),($Z27-$AE27-$AF27-$AG27-$AJ27-$AK27-$AL27-$AM27)*15%/(50%+15%)))))</f>
        <v>2.1015384615384618</v>
      </c>
      <c r="AJ27" s="206">
        <f>IF($Z27="",0,IF($R27="",0,$R27))</f>
        <v>0</v>
      </c>
      <c r="AK27" s="206">
        <f>IF(OR($Z27="",$S27=""),0,$Z27*10%)</f>
        <v>1.5866666666666669</v>
      </c>
      <c r="AL27" s="206">
        <f>IF(OR($Z27="",$T27=""),0,$Z27*10%)</f>
        <v>1.5866666666666669</v>
      </c>
      <c r="AM27" s="206">
        <f>IF($Z27="",0,IF($U27="",0,$U27))</f>
        <v>2</v>
      </c>
    </row>
    <row r="28" spans="1:41" ht="18" customHeight="1">
      <c r="A28" s="89">
        <f t="shared" si="4"/>
        <v>25</v>
      </c>
      <c r="B28" s="290"/>
      <c r="C28" s="285"/>
      <c r="D28" s="96" t="s">
        <v>208</v>
      </c>
      <c r="E28" s="253" t="s">
        <v>209</v>
      </c>
      <c r="F28" s="90" t="s">
        <v>174</v>
      </c>
      <c r="G28" s="94"/>
      <c r="H28" s="74"/>
      <c r="I28" s="74"/>
      <c r="J28" s="74"/>
      <c r="K28" s="74"/>
      <c r="L28" s="74"/>
      <c r="M28" s="82"/>
      <c r="N28" s="82"/>
      <c r="O28" s="82">
        <v>5</v>
      </c>
      <c r="P28" s="82">
        <f>7+3</f>
        <v>10</v>
      </c>
      <c r="Q28" s="82">
        <v>5</v>
      </c>
      <c r="R28" s="82"/>
      <c r="S28" s="82">
        <v>2</v>
      </c>
      <c r="T28" s="82">
        <v>5</v>
      </c>
      <c r="U28" s="82">
        <v>2</v>
      </c>
      <c r="V28" s="83">
        <f>SUM(M28:U28)</f>
        <v>29</v>
      </c>
      <c r="W28" s="42">
        <f t="shared" si="3"/>
        <v>14.5</v>
      </c>
      <c r="X28" s="42">
        <f>V28 + (V28 * (SUBSTITUTE(SUBSTITUTE($X$2, "Pessimistic (", ""), "%)", "") / 100))</f>
        <v>31.9</v>
      </c>
      <c r="Y28" s="84">
        <f>(W28+(4*V28)+X28)/6</f>
        <v>27.066666666666666</v>
      </c>
      <c r="Z28" s="174">
        <f t="shared" si="2"/>
        <v>13.533333333333333</v>
      </c>
      <c r="AA28" s="185">
        <v>46195</v>
      </c>
      <c r="AB28" s="185">
        <v>46203</v>
      </c>
      <c r="AC28" s="185">
        <v>46204</v>
      </c>
      <c r="AD28" s="185">
        <v>46206</v>
      </c>
      <c r="AE28" s="206">
        <f>IF($Z28="",0,IF($M28="",0,$M28))</f>
        <v>0</v>
      </c>
      <c r="AF28" s="206">
        <f>IF(OR($Z28="",$N28=""),0,$Z28*5%)</f>
        <v>0</v>
      </c>
      <c r="AG28" s="206">
        <f>IF(OR($Z28="",$O28=""),0,$Z28*10%)</f>
        <v>1.3533333333333335</v>
      </c>
      <c r="AH28" s="206">
        <f>IF($Z28="",0,IF(AND($P28="",$Q28=""),($Z28-$AE28-$AF28-$AG28-$AJ28-$AK28-$AL28-$AM28),IF($P28="",0,IF($Q28="",($Z28-$AE28-$AF28-$AG28-$AJ28-$AK28-$AL28-$AM28),($Z28-$AE28-$AF28-$AG28-$AJ28-$AK28-$AL28-$AM28)-$AI28))))</f>
        <v>5.7487179487179487</v>
      </c>
      <c r="AI28" s="206">
        <f>IF($Z28="",0,IF(AND($P28="",$Q28=""),0,IF($Q28="",0,IF($P28="",($Z28-$AE28-$AF28-$AG28-$AJ28-$AK28-$AL28-$AM28),($Z28-$AE28-$AF28-$AG28-$AJ28-$AK28-$AL28-$AM28)*15%/(50%+15%)))))</f>
        <v>1.7246153846153842</v>
      </c>
      <c r="AJ28" s="206">
        <f>IF($Z28="",0,IF($R28="",0,$R28))</f>
        <v>0</v>
      </c>
      <c r="AK28" s="206">
        <f>IF(OR($Z28="",$S28=""),0,$Z28*10%)</f>
        <v>1.3533333333333335</v>
      </c>
      <c r="AL28" s="206">
        <f>IF(OR($Z28="",$T28=""),0,$Z28*10%)</f>
        <v>1.3533333333333335</v>
      </c>
      <c r="AM28" s="206">
        <f>IF($Z28="",0,IF($U28="",0,$U28))</f>
        <v>2</v>
      </c>
    </row>
    <row r="29" spans="1:41" ht="18" hidden="1" customHeight="1">
      <c r="A29" s="89">
        <f t="shared" si="4"/>
        <v>26</v>
      </c>
      <c r="B29" s="285" t="s">
        <v>210</v>
      </c>
      <c r="C29" s="74" t="s">
        <v>211</v>
      </c>
      <c r="D29" s="96" t="s">
        <v>212</v>
      </c>
      <c r="E29" s="248"/>
      <c r="F29" s="90" t="s">
        <v>154</v>
      </c>
      <c r="G29" s="94"/>
      <c r="H29" s="74"/>
      <c r="I29" s="74"/>
      <c r="J29" s="74"/>
      <c r="K29" s="74"/>
      <c r="L29" s="74"/>
      <c r="M29" s="82"/>
      <c r="N29" s="82">
        <v>5</v>
      </c>
      <c r="O29" s="82">
        <v>3</v>
      </c>
      <c r="P29" s="82">
        <v>15</v>
      </c>
      <c r="Q29" s="82">
        <v>10</v>
      </c>
      <c r="R29" s="82"/>
      <c r="S29" s="82">
        <v>3</v>
      </c>
      <c r="T29" s="82">
        <v>5</v>
      </c>
      <c r="U29" s="82">
        <v>2</v>
      </c>
      <c r="V29" s="83">
        <f t="shared" si="0"/>
        <v>43</v>
      </c>
      <c r="W29" s="42">
        <f t="shared" si="3"/>
        <v>21.5</v>
      </c>
      <c r="X29" s="42">
        <f>V29 + (V29 * (SUBSTITUTE(SUBSTITUTE($X$2, "Pessimistic (", ""), "%)", "") / 100))</f>
        <v>47.3</v>
      </c>
      <c r="Y29" s="84">
        <f t="shared" si="1"/>
        <v>40.133333333333333</v>
      </c>
      <c r="Z29" s="174">
        <f t="shared" si="2"/>
        <v>20.066666666666666</v>
      </c>
      <c r="AA29" s="186"/>
      <c r="AB29" s="186"/>
      <c r="AC29" s="186"/>
      <c r="AD29" s="187"/>
      <c r="AE29" s="206">
        <f>IF($Z29="",0,IF($M29="",0,$M29))</f>
        <v>0</v>
      </c>
      <c r="AF29" s="206">
        <f>IF(OR($Z29="",$N29=""),0,$Z29*5%)</f>
        <v>1.0033333333333334</v>
      </c>
      <c r="AG29" s="206">
        <f>IF(OR($Z29="",$O29=""),0,$Z29*10%)</f>
        <v>2.0066666666666668</v>
      </c>
      <c r="AH29" s="206">
        <f>IF($Z29="",0,IF(AND($P29="",$Q29=""),($Z29-$AE29-$AF29-$AG29-$AJ29-$AK29-$AL29-$AM29),IF($P29="",0,IF($Q29="",($Z29-$AE29-$AF29-$AG29-$AJ29-$AK29-$AL29-$AM29),($Z29-$AE29-$AF29-$AG29-$AJ29-$AK29-$AL29-$AM29)-$AI29))))</f>
        <v>8.4948717948717913</v>
      </c>
      <c r="AI29" s="206">
        <f>IF($Z29="",0,IF(AND($P29="",$Q29=""),0,IF($Q29="",0,IF($P29="",($Z29-$AE29-$AF29-$AG29-$AJ29-$AK29-$AL29-$AM29),($Z29-$AE29-$AF29-$AG29-$AJ29-$AK29-$AL29-$AM29)*15%/(50%+15%)))))</f>
        <v>2.5484615384615377</v>
      </c>
      <c r="AJ29" s="206">
        <f>IF($Z29="",0,IF($R29="",0,$R29))</f>
        <v>0</v>
      </c>
      <c r="AK29" s="206">
        <f>IF(OR($Z29="",$S29=""),0,$Z29*10%)</f>
        <v>2.0066666666666668</v>
      </c>
      <c r="AL29" s="206">
        <f>IF(OR($Z29="",$T29=""),0,$Z29*10%)</f>
        <v>2.0066666666666668</v>
      </c>
      <c r="AM29" s="206">
        <f>IF($Z29="",0,IF($U29="",0,$U29))</f>
        <v>2</v>
      </c>
    </row>
    <row r="30" spans="1:41" ht="18" hidden="1" customHeight="1">
      <c r="A30" s="89">
        <f t="shared" si="4"/>
        <v>27</v>
      </c>
      <c r="B30" s="285"/>
      <c r="C30" s="74" t="s">
        <v>213</v>
      </c>
      <c r="D30" s="104" t="s">
        <v>214</v>
      </c>
      <c r="E30" s="255"/>
      <c r="F30" s="90" t="s">
        <v>154</v>
      </c>
      <c r="G30" s="94"/>
      <c r="H30" s="74"/>
      <c r="I30" s="74"/>
      <c r="J30" s="74"/>
      <c r="K30" s="74"/>
      <c r="L30" s="74"/>
      <c r="M30" s="82"/>
      <c r="N30" s="82"/>
      <c r="O30" s="82"/>
      <c r="P30" s="82">
        <v>20</v>
      </c>
      <c r="Q30" s="82">
        <v>10</v>
      </c>
      <c r="R30" s="82"/>
      <c r="S30" s="82">
        <v>5</v>
      </c>
      <c r="T30" s="82">
        <v>6</v>
      </c>
      <c r="U30" s="82">
        <v>2</v>
      </c>
      <c r="V30" s="83">
        <f t="shared" si="0"/>
        <v>43</v>
      </c>
      <c r="W30" s="42">
        <f t="shared" si="3"/>
        <v>21.5</v>
      </c>
      <c r="X30" s="42">
        <f>V30 + (V30 * (SUBSTITUTE(SUBSTITUTE($X$2, "Pessimistic (", ""), "%)", "") / 100))</f>
        <v>47.3</v>
      </c>
      <c r="Y30" s="84">
        <f t="shared" si="1"/>
        <v>40.133333333333333</v>
      </c>
      <c r="Z30" s="174">
        <f t="shared" si="2"/>
        <v>20.066666666666666</v>
      </c>
      <c r="AA30" s="185">
        <v>46209</v>
      </c>
      <c r="AB30" s="185">
        <v>46220</v>
      </c>
      <c r="AC30" s="185">
        <v>46220</v>
      </c>
      <c r="AD30" s="185">
        <v>46227</v>
      </c>
      <c r="AE30" s="206">
        <f>IF($Z30="",0,IF($M30="",0,$M30))</f>
        <v>0</v>
      </c>
      <c r="AF30" s="206">
        <f>IF(OR($Z30="",$N30=""),0,$Z30*5%)</f>
        <v>0</v>
      </c>
      <c r="AG30" s="206">
        <f>IF(OR($Z30="",$O30=""),0,$Z30*10%)</f>
        <v>0</v>
      </c>
      <c r="AH30" s="206">
        <f>IF($Z30="",0,IF(AND($P30="",$Q30=""),($Z30-$AE30-$AF30-$AG30-$AJ30-$AK30-$AL30-$AM30),IF($P30="",0,IF($Q30="",($Z30-$AE30-$AF30-$AG30-$AJ30-$AK30-$AL30-$AM30),($Z30-$AE30-$AF30-$AG30-$AJ30-$AK30-$AL30-$AM30)-$AI30))))</f>
        <v>10.810256410256409</v>
      </c>
      <c r="AI30" s="206">
        <f>IF($Z30="",0,IF(AND($P30="",$Q30=""),0,IF($Q30="",0,IF($P30="",($Z30-$AE30-$AF30-$AG30-$AJ30-$AK30-$AL30-$AM30),($Z30-$AE30-$AF30-$AG30-$AJ30-$AK30-$AL30-$AM30)*15%/(50%+15%)))))</f>
        <v>3.2430769230769223</v>
      </c>
      <c r="AJ30" s="206">
        <f>IF($Z30="",0,IF($R30="",0,$R30))</f>
        <v>0</v>
      </c>
      <c r="AK30" s="206">
        <f>IF(OR($Z30="",$S30=""),0,$Z30*10%)</f>
        <v>2.0066666666666668</v>
      </c>
      <c r="AL30" s="206">
        <f>IF(OR($Z30="",$T30=""),0,$Z30*10%)</f>
        <v>2.0066666666666668</v>
      </c>
      <c r="AM30" s="206">
        <f>IF($Z30="",0,IF($U30="",0,$U30))</f>
        <v>2</v>
      </c>
    </row>
    <row r="31" spans="1:41" ht="18" customHeight="1">
      <c r="A31" s="89">
        <f t="shared" si="4"/>
        <v>28</v>
      </c>
      <c r="B31" s="285"/>
      <c r="C31" s="74" t="s">
        <v>215</v>
      </c>
      <c r="D31" s="104" t="s">
        <v>216</v>
      </c>
      <c r="E31" s="254" t="s">
        <v>217</v>
      </c>
      <c r="F31" s="90" t="s">
        <v>174</v>
      </c>
      <c r="G31" s="94"/>
      <c r="H31" s="74"/>
      <c r="I31" s="74"/>
      <c r="J31" s="74"/>
      <c r="K31" s="74"/>
      <c r="L31" s="74"/>
      <c r="M31" s="82"/>
      <c r="N31" s="82"/>
      <c r="O31" s="82">
        <f>5+1</f>
        <v>6</v>
      </c>
      <c r="P31" s="82">
        <f>16+10</f>
        <v>26</v>
      </c>
      <c r="Q31" s="82">
        <v>10</v>
      </c>
      <c r="R31" s="82"/>
      <c r="S31" s="82"/>
      <c r="T31" s="82">
        <v>3</v>
      </c>
      <c r="U31" s="82">
        <v>2</v>
      </c>
      <c r="V31" s="83">
        <f t="shared" si="0"/>
        <v>47</v>
      </c>
      <c r="W31" s="42">
        <f t="shared" si="3"/>
        <v>23.5</v>
      </c>
      <c r="X31" s="42">
        <f>V31 + (V31 * (SUBSTITUTE(SUBSTITUTE($X$2, "Pessimistic (", ""), "%)", "") / 100))</f>
        <v>51.7</v>
      </c>
      <c r="Y31" s="84">
        <f t="shared" si="1"/>
        <v>43.866666666666667</v>
      </c>
      <c r="Z31" s="174">
        <f t="shared" si="2"/>
        <v>21.933333333333334</v>
      </c>
      <c r="AA31" s="185">
        <v>46132</v>
      </c>
      <c r="AB31" s="185">
        <v>46142</v>
      </c>
      <c r="AC31" s="185">
        <v>46143</v>
      </c>
      <c r="AD31" s="185">
        <v>46153</v>
      </c>
      <c r="AE31" s="206">
        <f>IF($Z31="",0,IF($M31="",0,$M31))</f>
        <v>0</v>
      </c>
      <c r="AF31" s="206">
        <f>IF(OR($Z31="",$N31=""),0,$Z31*5%)</f>
        <v>0</v>
      </c>
      <c r="AG31" s="206">
        <f>IF(OR($Z31="",$O31=""),0,$Z31*10%)</f>
        <v>2.1933333333333334</v>
      </c>
      <c r="AH31" s="206">
        <f>IF($Z31="",0,IF(AND($P31="",$Q31=""),($Z31-$AE31-$AF31-$AG31-$AJ31-$AK31-$AL31-$AM31),IF($P31="",0,IF($Q31="",($Z31-$AE31-$AF31-$AG31-$AJ31-$AK31-$AL31-$AM31),($Z31-$AE31-$AF31-$AG31-$AJ31-$AK31-$AL31-$AM31)-$AI31))))</f>
        <v>11.958974358974359</v>
      </c>
      <c r="AI31" s="206">
        <f>IF($Z31="",0,IF(AND($P31="",$Q31=""),0,IF($Q31="",0,IF($P31="",($Z31-$AE31-$AF31-$AG31-$AJ31-$AK31-$AL31-$AM31),($Z31-$AE31-$AF31-$AG31-$AJ31-$AK31-$AL31-$AM31)*15%/(50%+15%)))))</f>
        <v>3.5876923076923073</v>
      </c>
      <c r="AJ31" s="206">
        <f>IF($Z31="",0,IF($R31="",0,$R31))</f>
        <v>0</v>
      </c>
      <c r="AK31" s="206">
        <f>IF(OR($Z31="",$S31=""),0,$Z31*10%)</f>
        <v>0</v>
      </c>
      <c r="AL31" s="206">
        <f>IF(OR($Z31="",$T31=""),0,$Z31*10%)</f>
        <v>2.1933333333333334</v>
      </c>
      <c r="AM31" s="206">
        <f>IF($Z31="",0,IF($U31="",0,$U31))</f>
        <v>2</v>
      </c>
    </row>
    <row r="32" spans="1:41" ht="18" customHeight="1">
      <c r="A32" s="89">
        <f t="shared" si="4"/>
        <v>29</v>
      </c>
      <c r="B32" s="285"/>
      <c r="C32" s="74" t="s">
        <v>218</v>
      </c>
      <c r="D32" s="106" t="s">
        <v>219</v>
      </c>
      <c r="E32" s="247"/>
      <c r="F32" s="90" t="s">
        <v>174</v>
      </c>
      <c r="G32" s="94"/>
      <c r="H32" s="74"/>
      <c r="I32" s="74"/>
      <c r="J32" s="74"/>
      <c r="K32" s="74"/>
      <c r="L32" s="74"/>
      <c r="M32" s="82"/>
      <c r="N32" s="82"/>
      <c r="O32" s="82">
        <v>1</v>
      </c>
      <c r="P32" s="82">
        <v>2</v>
      </c>
      <c r="Q32" s="82">
        <v>2</v>
      </c>
      <c r="R32" s="82"/>
      <c r="S32" s="82">
        <v>1</v>
      </c>
      <c r="T32" s="82">
        <v>2</v>
      </c>
      <c r="U32" s="82"/>
      <c r="V32" s="83">
        <f t="shared" si="0"/>
        <v>8</v>
      </c>
      <c r="W32" s="42">
        <f t="shared" si="3"/>
        <v>4</v>
      </c>
      <c r="X32" s="42">
        <f>V32 + (V32 * (SUBSTITUTE(SUBSTITUTE($X$2, "Pessimistic (", ""), "%)", "") / 100))</f>
        <v>8.8000000000000007</v>
      </c>
      <c r="Y32" s="84">
        <f t="shared" si="1"/>
        <v>7.4666666666666659</v>
      </c>
      <c r="Z32" s="174">
        <f t="shared" si="2"/>
        <v>3.7333333333333329</v>
      </c>
      <c r="AA32" s="186"/>
      <c r="AB32" s="186"/>
      <c r="AC32" s="186"/>
      <c r="AD32" s="187"/>
      <c r="AE32" s="206">
        <f>IF($Z32="",0,IF($M32="",0,$M32))</f>
        <v>0</v>
      </c>
      <c r="AF32" s="206">
        <f>IF(OR($Z32="",$N32=""),0,$Z32*5%)</f>
        <v>0</v>
      </c>
      <c r="AG32" s="206">
        <f>IF(OR($Z32="",$O32=""),0,$Z32*10%)</f>
        <v>0.37333333333333329</v>
      </c>
      <c r="AH32" s="206">
        <f>IF($Z32="",0,IF(AND($P32="",$Q32=""),($Z32-$AE32-$AF32-$AG32-$AJ32-$AK32-$AL32-$AM32),IF($P32="",0,IF($Q32="",($Z32-$AE32-$AF32-$AG32-$AJ32-$AK32-$AL32-$AM32),($Z32-$AE32-$AF32-$AG32-$AJ32-$AK32-$AL32-$AM32)-$AI32))))</f>
        <v>2.0102564102564102</v>
      </c>
      <c r="AI32" s="206">
        <f>IF($Z32="",0,IF(AND($P32="",$Q32=""),0,IF($Q32="",0,IF($P32="",($Z32-$AE32-$AF32-$AG32-$AJ32-$AK32-$AL32-$AM32),($Z32-$AE32-$AF32-$AG32-$AJ32-$AK32-$AL32-$AM32)*15%/(50%+15%)))))</f>
        <v>0.60307692307692295</v>
      </c>
      <c r="AJ32" s="206">
        <f>IF($Z32="",0,IF($R32="",0,$R32))</f>
        <v>0</v>
      </c>
      <c r="AK32" s="206">
        <f>IF(OR($Z32="",$S32=""),0,$Z32*10%)</f>
        <v>0.37333333333333329</v>
      </c>
      <c r="AL32" s="206">
        <f>IF(OR($Z32="",$T32=""),0,$Z32*10%)</f>
        <v>0.37333333333333329</v>
      </c>
      <c r="AM32" s="206">
        <f>IF($Z32="",0,IF($U32="",0,$U32))</f>
        <v>0</v>
      </c>
    </row>
    <row r="33" spans="1:39" ht="18" hidden="1" customHeight="1">
      <c r="A33" s="89">
        <f t="shared" si="4"/>
        <v>30</v>
      </c>
      <c r="B33" s="285"/>
      <c r="C33" s="74" t="s">
        <v>220</v>
      </c>
      <c r="D33" s="97" t="s">
        <v>221</v>
      </c>
      <c r="E33" s="253" t="s">
        <v>222</v>
      </c>
      <c r="F33" s="90" t="s">
        <v>63</v>
      </c>
      <c r="G33" s="94"/>
      <c r="H33" s="74"/>
      <c r="I33" s="74"/>
      <c r="J33" s="74"/>
      <c r="K33" s="74"/>
      <c r="L33" s="74"/>
      <c r="M33" s="82"/>
      <c r="N33" s="82"/>
      <c r="O33" s="82">
        <v>3</v>
      </c>
      <c r="P33" s="82">
        <v>10</v>
      </c>
      <c r="Q33" s="82">
        <v>10</v>
      </c>
      <c r="R33" s="82"/>
      <c r="S33" s="82"/>
      <c r="T33" s="82">
        <v>2</v>
      </c>
      <c r="U33" s="82">
        <v>1</v>
      </c>
      <c r="V33" s="83">
        <f t="shared" si="0"/>
        <v>26</v>
      </c>
      <c r="W33" s="42">
        <f t="shared" si="3"/>
        <v>13</v>
      </c>
      <c r="X33" s="42">
        <f>V33 + (V33 * (SUBSTITUTE(SUBSTITUTE($X$2, "Pessimistic (", ""), "%)", "") / 100))</f>
        <v>28.6</v>
      </c>
      <c r="Y33" s="84">
        <f t="shared" ref="Y33" si="5">(W33+(4*V33)+X33)/6</f>
        <v>24.266666666666666</v>
      </c>
      <c r="Z33" s="174">
        <f t="shared" si="2"/>
        <v>12.133333333333333</v>
      </c>
      <c r="AA33" s="185">
        <v>46146</v>
      </c>
      <c r="AB33" s="185">
        <v>46153</v>
      </c>
      <c r="AC33" s="185">
        <v>46154</v>
      </c>
      <c r="AD33" s="185">
        <v>46160</v>
      </c>
      <c r="AE33" s="206">
        <f>IF($Z33="",0,IF($M33="",0,$M33))</f>
        <v>0</v>
      </c>
      <c r="AF33" s="206">
        <f>IF(OR($Z33="",$N33=""),0,$Z33*5%)</f>
        <v>0</v>
      </c>
      <c r="AG33" s="206">
        <f>IF(OR($Z33="",$O33=""),0,$Z33*10%)</f>
        <v>1.2133333333333334</v>
      </c>
      <c r="AH33" s="206">
        <f>IF($Z33="",0,IF(AND($P33="",$Q33=""),($Z33-$AE33-$AF33-$AG33-$AJ33-$AK33-$AL33-$AM33),IF($P33="",0,IF($Q33="",($Z33-$AE33-$AF33-$AG33-$AJ33-$AK33-$AL33-$AM33),($Z33-$AE33-$AF33-$AG33-$AJ33-$AK33-$AL33-$AM33)-$AI33))))</f>
        <v>6.6974358974358976</v>
      </c>
      <c r="AI33" s="206">
        <f>IF($Z33="",0,IF(AND($P33="",$Q33=""),0,IF($Q33="",0,IF($P33="",($Z33-$AE33-$AF33-$AG33-$AJ33-$AK33-$AL33-$AM33),($Z33-$AE33-$AF33-$AG33-$AJ33-$AK33-$AL33-$AM33)*15%/(50%+15%)))))</f>
        <v>2.0092307692307694</v>
      </c>
      <c r="AJ33" s="206">
        <f>IF($Z33="",0,IF($R33="",0,$R33))</f>
        <v>0</v>
      </c>
      <c r="AK33" s="206">
        <f>IF(OR($Z33="",$S33=""),0,$Z33*10%)</f>
        <v>0</v>
      </c>
      <c r="AL33" s="206">
        <f>IF(OR($Z33="",$T33=""),0,$Z33*10%)</f>
        <v>1.2133333333333334</v>
      </c>
      <c r="AM33" s="206">
        <f>IF($Z33="",0,IF($U33="",0,$U33))</f>
        <v>1</v>
      </c>
    </row>
    <row r="34" spans="1:39" ht="18" hidden="1" customHeight="1">
      <c r="A34" s="89">
        <f t="shared" si="4"/>
        <v>31</v>
      </c>
      <c r="B34" s="285"/>
      <c r="C34" s="74" t="s">
        <v>223</v>
      </c>
      <c r="D34" s="96" t="s">
        <v>224</v>
      </c>
      <c r="E34" s="253" t="s">
        <v>225</v>
      </c>
      <c r="F34" s="90" t="s">
        <v>154</v>
      </c>
      <c r="G34" s="94"/>
      <c r="H34" s="74"/>
      <c r="I34" s="74"/>
      <c r="J34" s="74"/>
      <c r="K34" s="74"/>
      <c r="L34" s="74"/>
      <c r="M34" s="82"/>
      <c r="N34" s="82"/>
      <c r="O34" s="82">
        <f>5+2</f>
        <v>7</v>
      </c>
      <c r="P34" s="82">
        <f>10+5</f>
        <v>15</v>
      </c>
      <c r="Q34" s="82">
        <v>5</v>
      </c>
      <c r="R34" s="82"/>
      <c r="S34" s="82">
        <v>3</v>
      </c>
      <c r="T34" s="82">
        <v>3</v>
      </c>
      <c r="U34" s="82"/>
      <c r="V34" s="83">
        <f t="shared" si="0"/>
        <v>33</v>
      </c>
      <c r="W34" s="42">
        <f t="shared" si="3"/>
        <v>16.5</v>
      </c>
      <c r="X34" s="42">
        <f>V34 + (V34 * (SUBSTITUTE(SUBSTITUTE($X$2, "Pessimistic (", ""), "%)", "") / 100))</f>
        <v>36.299999999999997</v>
      </c>
      <c r="Y34" s="84">
        <f t="shared" si="1"/>
        <v>30.8</v>
      </c>
      <c r="Z34" s="174">
        <f t="shared" si="2"/>
        <v>15.4</v>
      </c>
      <c r="AA34" s="185">
        <v>46120</v>
      </c>
      <c r="AB34" s="185">
        <v>46134</v>
      </c>
      <c r="AC34" s="185">
        <v>46146</v>
      </c>
      <c r="AD34" s="185">
        <v>46148</v>
      </c>
      <c r="AE34" s="206">
        <f>IF($Z34="",0,IF($M34="",0,$M34))</f>
        <v>0</v>
      </c>
      <c r="AF34" s="206">
        <f>IF(OR($Z34="",$N34=""),0,$Z34*5%)</f>
        <v>0</v>
      </c>
      <c r="AG34" s="206">
        <f>IF(OR($Z34="",$O34=""),0,$Z34*10%)</f>
        <v>1.54</v>
      </c>
      <c r="AH34" s="206">
        <f>IF($Z34="",0,IF(AND($P34="",$Q34=""),($Z34-$AE34-$AF34-$AG34-$AJ34-$AK34-$AL34-$AM34),IF($P34="",0,IF($Q34="",($Z34-$AE34-$AF34-$AG34-$AJ34-$AK34-$AL34-$AM34),($Z34-$AE34-$AF34-$AG34-$AJ34-$AK34-$AL34-$AM34)-$AI34))))</f>
        <v>8.292307692307693</v>
      </c>
      <c r="AI34" s="206">
        <f>IF($Z34="",0,IF(AND($P34="",$Q34=""),0,IF($Q34="",0,IF($P34="",($Z34-$AE34-$AF34-$AG34-$AJ34-$AK34-$AL34-$AM34),($Z34-$AE34-$AF34-$AG34-$AJ34-$AK34-$AL34-$AM34)*15%/(50%+15%)))))</f>
        <v>2.4876923076923081</v>
      </c>
      <c r="AJ34" s="206">
        <f>IF($Z34="",0,IF($R34="",0,$R34))</f>
        <v>0</v>
      </c>
      <c r="AK34" s="206">
        <f>IF(OR($Z34="",$S34=""),0,$Z34*10%)</f>
        <v>1.54</v>
      </c>
      <c r="AL34" s="206">
        <f>IF(OR($Z34="",$T34=""),0,$Z34*10%)</f>
        <v>1.54</v>
      </c>
      <c r="AM34" s="206">
        <f>IF($Z34="",0,IF($U34="",0,$U34))</f>
        <v>0</v>
      </c>
    </row>
    <row r="35" spans="1:39" ht="18" hidden="1" customHeight="1">
      <c r="A35" s="89">
        <f t="shared" si="4"/>
        <v>32</v>
      </c>
      <c r="B35" s="74" t="s">
        <v>226</v>
      </c>
      <c r="C35" s="74" t="s">
        <v>226</v>
      </c>
      <c r="D35" s="96" t="s">
        <v>227</v>
      </c>
      <c r="E35" s="248"/>
      <c r="F35" s="90"/>
      <c r="G35" s="94"/>
      <c r="H35" s="74"/>
      <c r="I35" s="74"/>
      <c r="J35" s="74"/>
      <c r="K35" s="74"/>
      <c r="L35" s="74"/>
      <c r="M35" s="82"/>
      <c r="N35" s="82"/>
      <c r="O35" s="82"/>
      <c r="P35" s="82"/>
      <c r="Q35" s="82"/>
      <c r="R35" s="82"/>
      <c r="S35" s="82"/>
      <c r="T35" s="82"/>
      <c r="U35" s="82"/>
      <c r="V35" s="83">
        <f t="shared" si="0"/>
        <v>0</v>
      </c>
      <c r="W35" s="42">
        <f t="shared" si="3"/>
        <v>0</v>
      </c>
      <c r="X35" s="42">
        <f>V35 + (V35 * (SUBSTITUTE(SUBSTITUTE($X$2, "Pessimistic (", ""), "%)", "") / 100))</f>
        <v>0</v>
      </c>
      <c r="Y35" s="84">
        <f t="shared" si="1"/>
        <v>0</v>
      </c>
      <c r="Z35" s="174">
        <f t="shared" si="2"/>
        <v>0</v>
      </c>
      <c r="AA35" s="186"/>
      <c r="AB35" s="186"/>
      <c r="AC35" s="186"/>
      <c r="AD35" s="187"/>
      <c r="AE35" s="206">
        <f>IF($Z35="",0,IF($M35="",0,$M35))</f>
        <v>0</v>
      </c>
      <c r="AF35" s="206">
        <f>IF(OR($Z35="",$N35=""),0,$Z35*5%)</f>
        <v>0</v>
      </c>
      <c r="AG35" s="206">
        <f>IF(OR($Z35="",$O35=""),0,$Z35*10%)</f>
        <v>0</v>
      </c>
      <c r="AH35" s="206">
        <f>IF($Z35="",0,IF(AND($P35="",$Q35=""),($Z35-$AE35-$AF35-$AG35-$AJ35-$AK35-$AL35-$AM35),IF($P35="",0,IF($Q35="",($Z35-$AE35-$AF35-$AG35-$AJ35-$AK35-$AL35-$AM35),($Z35-$AE35-$AF35-$AG35-$AJ35-$AK35-$AL35-$AM35)-$AI35))))</f>
        <v>0</v>
      </c>
      <c r="AI35" s="206">
        <f>IF($Z35="",0,IF(AND($P35="",$Q35=""),0,IF($Q35="",0,IF($P35="",($Z35-$AE35-$AF35-$AG35-$AJ35-$AK35-$AL35-$AM35),($Z35-$AE35-$AF35-$AG35-$AJ35-$AK35-$AL35-$AM35)*15%/(50%+15%)))))</f>
        <v>0</v>
      </c>
      <c r="AJ35" s="206">
        <f>IF($Z35="",0,IF($R35="",0,$R35))</f>
        <v>0</v>
      </c>
      <c r="AK35" s="206">
        <f>IF(OR($Z35="",$S35=""),0,$Z35*10%)</f>
        <v>0</v>
      </c>
      <c r="AL35" s="206">
        <f>IF(OR($Z35="",$T35=""),0,$Z35*10%)</f>
        <v>0</v>
      </c>
      <c r="AM35" s="206">
        <f>IF($Z35="",0,IF($U35="",0,$U35))</f>
        <v>0</v>
      </c>
    </row>
    <row r="36" spans="1:39" ht="18" customHeight="1">
      <c r="A36" s="89">
        <f t="shared" si="4"/>
        <v>33</v>
      </c>
      <c r="B36" s="74" t="s">
        <v>228</v>
      </c>
      <c r="C36" s="74" t="s">
        <v>228</v>
      </c>
      <c r="D36" s="105" t="s">
        <v>229</v>
      </c>
      <c r="E36" s="254" t="s">
        <v>230</v>
      </c>
      <c r="F36" s="91" t="s">
        <v>174</v>
      </c>
      <c r="G36" s="94"/>
      <c r="H36" s="74"/>
      <c r="I36" s="74"/>
      <c r="J36" s="74"/>
      <c r="K36" s="74"/>
      <c r="L36" s="74"/>
      <c r="M36" s="74"/>
      <c r="N36" s="74"/>
      <c r="O36" s="86">
        <v>5</v>
      </c>
      <c r="P36" s="86">
        <v>35</v>
      </c>
      <c r="Q36" s="86">
        <v>5</v>
      </c>
      <c r="R36" s="74"/>
      <c r="S36" s="74">
        <v>5</v>
      </c>
      <c r="T36" s="74"/>
      <c r="U36" s="74">
        <v>2</v>
      </c>
      <c r="V36" s="83">
        <f t="shared" si="0"/>
        <v>52</v>
      </c>
      <c r="W36" s="42">
        <f t="shared" si="3"/>
        <v>26</v>
      </c>
      <c r="X36" s="42">
        <f>V36 + (V36 * (SUBSTITUTE(SUBSTITUTE($X$2, "Pessimistic (", ""), "%)", "") / 100))</f>
        <v>57.2</v>
      </c>
      <c r="Y36" s="84">
        <f t="shared" ref="Y36:Y54" si="6">(W36+(4*V36)+X36)/6</f>
        <v>48.533333333333331</v>
      </c>
      <c r="Z36" s="174">
        <f t="shared" si="2"/>
        <v>24.266666666666666</v>
      </c>
      <c r="AA36" s="185">
        <v>46120</v>
      </c>
      <c r="AB36" s="185">
        <v>46129</v>
      </c>
      <c r="AC36" s="185">
        <v>46146</v>
      </c>
      <c r="AD36" s="185">
        <v>46148</v>
      </c>
      <c r="AE36" s="206">
        <f>IF($Z36="",0,IF($M36="",0,$M36))</f>
        <v>0</v>
      </c>
      <c r="AF36" s="206">
        <f>IF(OR($Z36="",$N36=""),0,$Z36*5%)</f>
        <v>0</v>
      </c>
      <c r="AG36" s="206">
        <f>IF(OR($Z36="",$O36=""),0,$Z36*10%)</f>
        <v>2.4266666666666667</v>
      </c>
      <c r="AH36" s="206">
        <f>IF($Z36="",0,IF(AND($P36="",$Q36=""),($Z36-$AE36-$AF36-$AG36-$AJ36-$AK36-$AL36-$AM36),IF($P36="",0,IF($Q36="",($Z36-$AE36-$AF36-$AG36-$AJ36-$AK36-$AL36-$AM36),($Z36-$AE36-$AF36-$AG36-$AJ36-$AK36-$AL36-$AM36)-$AI36))))</f>
        <v>13.394871794871795</v>
      </c>
      <c r="AI36" s="206">
        <f>IF($Z36="",0,IF(AND($P36="",$Q36=""),0,IF($Q36="",0,IF($P36="",($Z36-$AE36-$AF36-$AG36-$AJ36-$AK36-$AL36-$AM36),($Z36-$AE36-$AF36-$AG36-$AJ36-$AK36-$AL36-$AM36)*15%/(50%+15%)))))</f>
        <v>4.0184615384615388</v>
      </c>
      <c r="AJ36" s="206">
        <f>IF($Z36="",0,IF($R36="",0,$R36))</f>
        <v>0</v>
      </c>
      <c r="AK36" s="206">
        <f>IF(OR($Z36="",$S36=""),0,$Z36*10%)</f>
        <v>2.4266666666666667</v>
      </c>
      <c r="AL36" s="206">
        <f>IF(OR($Z36="",$T36=""),0,$Z36*10%)</f>
        <v>0</v>
      </c>
      <c r="AM36" s="206">
        <f>IF($Z36="",0,IF($U36="",0,$U36))</f>
        <v>2</v>
      </c>
    </row>
    <row r="37" spans="1:39" ht="18" customHeight="1">
      <c r="A37" s="89">
        <f t="shared" si="4"/>
        <v>34</v>
      </c>
      <c r="B37" s="74" t="s">
        <v>228</v>
      </c>
      <c r="C37" s="74" t="s">
        <v>228</v>
      </c>
      <c r="D37" s="100" t="s">
        <v>231</v>
      </c>
      <c r="E37" s="262" t="s">
        <v>232</v>
      </c>
      <c r="F37" s="91" t="s">
        <v>174</v>
      </c>
      <c r="G37" s="94"/>
      <c r="H37" s="74"/>
      <c r="I37" s="74"/>
      <c r="J37" s="74"/>
      <c r="K37" s="74"/>
      <c r="L37" s="74"/>
      <c r="M37" s="74"/>
      <c r="N37" s="74"/>
      <c r="O37" s="86">
        <v>3</v>
      </c>
      <c r="P37" s="86">
        <v>3</v>
      </c>
      <c r="Q37" s="86">
        <v>2</v>
      </c>
      <c r="R37" s="74"/>
      <c r="S37" s="74">
        <v>5</v>
      </c>
      <c r="T37" s="74"/>
      <c r="U37" s="74">
        <v>2</v>
      </c>
      <c r="V37" s="83">
        <f t="shared" si="0"/>
        <v>15</v>
      </c>
      <c r="W37" s="42">
        <f t="shared" si="3"/>
        <v>7.5</v>
      </c>
      <c r="X37" s="42">
        <f>V37 + (V37 * (SUBSTITUTE(SUBSTITUTE($X$2, "Pessimistic (", ""), "%)", "") / 100))</f>
        <v>16.5</v>
      </c>
      <c r="Y37" s="84">
        <f t="shared" si="6"/>
        <v>14</v>
      </c>
      <c r="Z37" s="174">
        <f t="shared" si="2"/>
        <v>7</v>
      </c>
      <c r="AA37" s="186"/>
      <c r="AB37" s="186"/>
      <c r="AC37" s="186"/>
      <c r="AD37" s="187"/>
      <c r="AE37" s="206">
        <f>IF($Z37="",0,IF($M37="",0,$M37))</f>
        <v>0</v>
      </c>
      <c r="AF37" s="206">
        <f>IF(OR($Z37="",$N37=""),0,$Z37*5%)</f>
        <v>0</v>
      </c>
      <c r="AG37" s="206">
        <f>IF(OR($Z37="",$O37=""),0,$Z37*10%)</f>
        <v>0.70000000000000007</v>
      </c>
      <c r="AH37" s="206">
        <f>IF($Z37="",0,IF(AND($P37="",$Q37=""),($Z37-$AE37-$AF37-$AG37-$AJ37-$AK37-$AL37-$AM37),IF($P37="",0,IF($Q37="",($Z37-$AE37-$AF37-$AG37-$AJ37-$AK37-$AL37-$AM37),($Z37-$AE37-$AF37-$AG37-$AJ37-$AK37-$AL37-$AM37)-$AI37))))</f>
        <v>2.7692307692307692</v>
      </c>
      <c r="AI37" s="206">
        <f>IF($Z37="",0,IF(AND($P37="",$Q37=""),0,IF($Q37="",0,IF($P37="",($Z37-$AE37-$AF37-$AG37-$AJ37-$AK37-$AL37-$AM37),($Z37-$AE37-$AF37-$AG37-$AJ37-$AK37-$AL37-$AM37)*15%/(50%+15%)))))</f>
        <v>0.83076923076923059</v>
      </c>
      <c r="AJ37" s="206">
        <f>IF($Z37="",0,IF($R37="",0,$R37))</f>
        <v>0</v>
      </c>
      <c r="AK37" s="206">
        <f>IF(OR($Z37="",$S37=""),0,$Z37*10%)</f>
        <v>0.70000000000000007</v>
      </c>
      <c r="AL37" s="206">
        <f>IF(OR($Z37="",$T37=""),0,$Z37*10%)</f>
        <v>0</v>
      </c>
      <c r="AM37" s="206">
        <f>IF($Z37="",0,IF($U37="",0,$U37))</f>
        <v>2</v>
      </c>
    </row>
    <row r="38" spans="1:39" ht="198">
      <c r="A38" s="89">
        <f t="shared" si="4"/>
        <v>35</v>
      </c>
      <c r="B38" s="74" t="s">
        <v>228</v>
      </c>
      <c r="C38" s="74" t="s">
        <v>228</v>
      </c>
      <c r="D38" s="101" t="s">
        <v>233</v>
      </c>
      <c r="E38" s="249"/>
      <c r="F38" s="91" t="s">
        <v>174</v>
      </c>
      <c r="G38" s="94"/>
      <c r="H38" s="74"/>
      <c r="I38" s="74"/>
      <c r="J38" s="74"/>
      <c r="K38" s="74"/>
      <c r="L38" s="74"/>
      <c r="M38" s="74"/>
      <c r="N38" s="74"/>
      <c r="O38" s="86">
        <v>4</v>
      </c>
      <c r="P38" s="86">
        <v>10</v>
      </c>
      <c r="Q38" s="86">
        <v>5</v>
      </c>
      <c r="R38" s="74"/>
      <c r="S38" s="74">
        <v>5</v>
      </c>
      <c r="T38" s="74"/>
      <c r="U38" s="74">
        <v>2</v>
      </c>
      <c r="V38" s="83">
        <f t="shared" si="0"/>
        <v>26</v>
      </c>
      <c r="W38" s="42">
        <f t="shared" si="3"/>
        <v>13</v>
      </c>
      <c r="X38" s="42">
        <f>V38 + (V38 * (SUBSTITUTE(SUBSTITUTE($X$2, "Pessimistic (", ""), "%)", "") / 100))</f>
        <v>28.6</v>
      </c>
      <c r="Y38" s="84">
        <f t="shared" si="6"/>
        <v>24.266666666666666</v>
      </c>
      <c r="Z38" s="174">
        <f t="shared" si="2"/>
        <v>12.133333333333333</v>
      </c>
      <c r="AA38" s="186"/>
      <c r="AB38" s="186"/>
      <c r="AC38" s="186"/>
      <c r="AD38" s="187"/>
      <c r="AE38" s="206">
        <f>IF($Z38="",0,IF($M38="",0,$M38))</f>
        <v>0</v>
      </c>
      <c r="AF38" s="206">
        <f>IF(OR($Z38="",$N38=""),0,$Z38*5%)</f>
        <v>0</v>
      </c>
      <c r="AG38" s="206">
        <f>IF(OR($Z38="",$O38=""),0,$Z38*10%)</f>
        <v>1.2133333333333334</v>
      </c>
      <c r="AH38" s="206">
        <f>IF($Z38="",0,IF(AND($P38="",$Q38=""),($Z38-$AE38-$AF38-$AG38-$AJ38-$AK38-$AL38-$AM38),IF($P38="",0,IF($Q38="",($Z38-$AE38-$AF38-$AG38-$AJ38-$AK38-$AL38-$AM38),($Z38-$AE38-$AF38-$AG38-$AJ38-$AK38-$AL38-$AM38)-$AI38))))</f>
        <v>5.9282051282051285</v>
      </c>
      <c r="AI38" s="206">
        <f>IF($Z38="",0,IF(AND($P38="",$Q38=""),0,IF($Q38="",0,IF($P38="",($Z38-$AE38-$AF38-$AG38-$AJ38-$AK38-$AL38-$AM38),($Z38-$AE38-$AF38-$AG38-$AJ38-$AK38-$AL38-$AM38)*15%/(50%+15%)))))</f>
        <v>1.7784615384615383</v>
      </c>
      <c r="AJ38" s="206">
        <f>IF($Z38="",0,IF($R38="",0,$R38))</f>
        <v>0</v>
      </c>
      <c r="AK38" s="206">
        <f>IF(OR($Z38="",$S38=""),0,$Z38*10%)</f>
        <v>1.2133333333333334</v>
      </c>
      <c r="AL38" s="206">
        <f>IF(OR($Z38="",$T38=""),0,$Z38*10%)</f>
        <v>0</v>
      </c>
      <c r="AM38" s="206">
        <f>IF($Z38="",0,IF($U38="",0,$U38))</f>
        <v>2</v>
      </c>
    </row>
    <row r="39" spans="1:39" ht="18" customHeight="1">
      <c r="A39" s="89">
        <f t="shared" si="4"/>
        <v>36</v>
      </c>
      <c r="B39" s="74" t="s">
        <v>228</v>
      </c>
      <c r="C39" s="74" t="s">
        <v>228</v>
      </c>
      <c r="D39" s="102" t="s">
        <v>234</v>
      </c>
      <c r="E39" s="250"/>
      <c r="F39" s="91" t="s">
        <v>174</v>
      </c>
      <c r="G39" s="94"/>
      <c r="H39" s="74"/>
      <c r="I39" s="74"/>
      <c r="J39" s="74"/>
      <c r="K39" s="74"/>
      <c r="L39" s="74"/>
      <c r="M39" s="74"/>
      <c r="N39" s="74"/>
      <c r="O39" s="86">
        <v>4</v>
      </c>
      <c r="P39" s="86">
        <v>4</v>
      </c>
      <c r="Q39" s="86">
        <v>3</v>
      </c>
      <c r="R39" s="74"/>
      <c r="S39" s="74">
        <v>5</v>
      </c>
      <c r="T39" s="74"/>
      <c r="U39" s="74">
        <v>2</v>
      </c>
      <c r="V39" s="83">
        <f t="shared" si="0"/>
        <v>18</v>
      </c>
      <c r="W39" s="42">
        <f t="shared" si="3"/>
        <v>9</v>
      </c>
      <c r="X39" s="42">
        <f>V39 + (V39 * (SUBSTITUTE(SUBSTITUTE($X$2, "Pessimistic (", ""), "%)", "") / 100))</f>
        <v>19.8</v>
      </c>
      <c r="Y39" s="84">
        <f t="shared" si="6"/>
        <v>16.8</v>
      </c>
      <c r="Z39" s="174">
        <f t="shared" si="2"/>
        <v>8.4</v>
      </c>
      <c r="AA39" s="186"/>
      <c r="AB39" s="186"/>
      <c r="AC39" s="186"/>
      <c r="AD39" s="187"/>
      <c r="AE39" s="206">
        <f>IF($Z39="",0,IF($M39="",0,$M39))</f>
        <v>0</v>
      </c>
      <c r="AF39" s="206">
        <f>IF(OR($Z39="",$N39=""),0,$Z39*5%)</f>
        <v>0</v>
      </c>
      <c r="AG39" s="206">
        <f>IF(OR($Z39="",$O39=""),0,$Z39*10%)</f>
        <v>0.84000000000000008</v>
      </c>
      <c r="AH39" s="206">
        <f>IF($Z39="",0,IF(AND($P39="",$Q39=""),($Z39-$AE39-$AF39-$AG39-$AJ39-$AK39-$AL39-$AM39),IF($P39="",0,IF($Q39="",($Z39-$AE39-$AF39-$AG39-$AJ39-$AK39-$AL39-$AM39),($Z39-$AE39-$AF39-$AG39-$AJ39-$AK39-$AL39-$AM39)-$AI39))))</f>
        <v>3.6307692307692312</v>
      </c>
      <c r="AI39" s="206">
        <f>IF($Z39="",0,IF(AND($P39="",$Q39=""),0,IF($Q39="",0,IF($P39="",($Z39-$AE39-$AF39-$AG39-$AJ39-$AK39-$AL39-$AM39),($Z39-$AE39-$AF39-$AG39-$AJ39-$AK39-$AL39-$AM39)*15%/(50%+15%)))))</f>
        <v>1.0892307692307692</v>
      </c>
      <c r="AJ39" s="206">
        <f>IF($Z39="",0,IF($R39="",0,$R39))</f>
        <v>0</v>
      </c>
      <c r="AK39" s="206">
        <f>IF(OR($Z39="",$S39=""),0,$Z39*10%)</f>
        <v>0.84000000000000008</v>
      </c>
      <c r="AL39" s="206">
        <f>IF(OR($Z39="",$T39=""),0,$Z39*10%)</f>
        <v>0</v>
      </c>
      <c r="AM39" s="206">
        <f>IF($Z39="",0,IF($U39="",0,$U39))</f>
        <v>2</v>
      </c>
    </row>
    <row r="40" spans="1:39" ht="18" customHeight="1">
      <c r="A40" s="89">
        <f t="shared" si="4"/>
        <v>37</v>
      </c>
      <c r="B40" s="74" t="s">
        <v>228</v>
      </c>
      <c r="C40" s="74" t="s">
        <v>228</v>
      </c>
      <c r="D40" s="102" t="s">
        <v>235</v>
      </c>
      <c r="E40" s="250"/>
      <c r="F40" s="91" t="s">
        <v>174</v>
      </c>
      <c r="G40" s="94"/>
      <c r="H40" s="74"/>
      <c r="I40" s="74"/>
      <c r="J40" s="74"/>
      <c r="K40" s="74"/>
      <c r="L40" s="74"/>
      <c r="M40" s="74"/>
      <c r="N40" s="74"/>
      <c r="O40" s="86">
        <v>0</v>
      </c>
      <c r="P40" s="86">
        <v>2</v>
      </c>
      <c r="Q40" s="86">
        <v>2</v>
      </c>
      <c r="R40" s="74"/>
      <c r="S40" s="74">
        <v>5</v>
      </c>
      <c r="T40" s="74"/>
      <c r="U40" s="74">
        <v>2</v>
      </c>
      <c r="V40" s="83">
        <f t="shared" si="0"/>
        <v>11</v>
      </c>
      <c r="W40" s="42">
        <f t="shared" si="3"/>
        <v>5.5</v>
      </c>
      <c r="X40" s="42">
        <f>V40 + (V40 * (SUBSTITUTE(SUBSTITUTE($X$2, "Pessimistic (", ""), "%)", "") / 100))</f>
        <v>12.1</v>
      </c>
      <c r="Y40" s="84">
        <f t="shared" si="6"/>
        <v>10.266666666666667</v>
      </c>
      <c r="Z40" s="174">
        <f t="shared" si="2"/>
        <v>5.1333333333333337</v>
      </c>
      <c r="AA40" s="186"/>
      <c r="AB40" s="186"/>
      <c r="AC40" s="186"/>
      <c r="AD40" s="187"/>
      <c r="AE40" s="206">
        <f>IF($Z40="",0,IF($M40="",0,$M40))</f>
        <v>0</v>
      </c>
      <c r="AF40" s="206">
        <f>IF(OR($Z40="",$N40=""),0,$Z40*5%)</f>
        <v>0</v>
      </c>
      <c r="AG40" s="206">
        <f>IF(OR($Z40="",$O40=""),0,$Z40*10%)</f>
        <v>0.51333333333333342</v>
      </c>
      <c r="AH40" s="206">
        <f>IF($Z40="",0,IF(AND($P40="",$Q40=""),($Z40-$AE40-$AF40-$AG40-$AJ40-$AK40-$AL40-$AM40),IF($P40="",0,IF($Q40="",($Z40-$AE40-$AF40-$AG40-$AJ40-$AK40-$AL40-$AM40),($Z40-$AE40-$AF40-$AG40-$AJ40-$AK40-$AL40-$AM40)-$AI40))))</f>
        <v>1.6205128205128205</v>
      </c>
      <c r="AI40" s="206">
        <f>IF($Z40="",0,IF(AND($P40="",$Q40=""),0,IF($Q40="",0,IF($P40="",($Z40-$AE40-$AF40-$AG40-$AJ40-$AK40-$AL40-$AM40),($Z40-$AE40-$AF40-$AG40-$AJ40-$AK40-$AL40-$AM40)*15%/(50%+15%)))))</f>
        <v>0.48615384615384605</v>
      </c>
      <c r="AJ40" s="206">
        <f>IF($Z40="",0,IF($R40="",0,$R40))</f>
        <v>0</v>
      </c>
      <c r="AK40" s="206">
        <f>IF(OR($Z40="",$S40=""),0,$Z40*10%)</f>
        <v>0.51333333333333342</v>
      </c>
      <c r="AL40" s="206">
        <f>IF(OR($Z40="",$T40=""),0,$Z40*10%)</f>
        <v>0</v>
      </c>
      <c r="AM40" s="206">
        <f>IF($Z40="",0,IF($U40="",0,$U40))</f>
        <v>2</v>
      </c>
    </row>
    <row r="41" spans="1:39" ht="18" customHeight="1">
      <c r="A41" s="89">
        <f t="shared" si="4"/>
        <v>38</v>
      </c>
      <c r="B41" s="74" t="s">
        <v>228</v>
      </c>
      <c r="C41" s="74" t="s">
        <v>228</v>
      </c>
      <c r="D41" s="102" t="s">
        <v>236</v>
      </c>
      <c r="E41" s="250"/>
      <c r="F41" s="91" t="s">
        <v>174</v>
      </c>
      <c r="G41" s="94"/>
      <c r="H41" s="74"/>
      <c r="I41" s="74"/>
      <c r="J41" s="74"/>
      <c r="K41" s="74"/>
      <c r="L41" s="74"/>
      <c r="M41" s="74"/>
      <c r="N41" s="74"/>
      <c r="O41" s="86">
        <v>2</v>
      </c>
      <c r="P41" s="86">
        <v>6</v>
      </c>
      <c r="Q41" s="86">
        <v>3</v>
      </c>
      <c r="R41" s="74"/>
      <c r="S41" s="74">
        <v>5</v>
      </c>
      <c r="T41" s="74"/>
      <c r="U41" s="74">
        <v>2</v>
      </c>
      <c r="V41" s="83">
        <f t="shared" si="0"/>
        <v>18</v>
      </c>
      <c r="W41" s="42">
        <f t="shared" si="3"/>
        <v>9</v>
      </c>
      <c r="X41" s="42">
        <f>V41 + (V41 * (SUBSTITUTE(SUBSTITUTE($X$2, "Pessimistic (", ""), "%)", "") / 100))</f>
        <v>19.8</v>
      </c>
      <c r="Y41" s="84">
        <f t="shared" si="6"/>
        <v>16.8</v>
      </c>
      <c r="Z41" s="174">
        <f t="shared" si="2"/>
        <v>8.4</v>
      </c>
      <c r="AA41" s="186"/>
      <c r="AB41" s="186"/>
      <c r="AC41" s="186"/>
      <c r="AD41" s="187"/>
      <c r="AE41" s="206">
        <f>IF($Z41="",0,IF($M41="",0,$M41))</f>
        <v>0</v>
      </c>
      <c r="AF41" s="206">
        <f>IF(OR($Z41="",$N41=""),0,$Z41*5%)</f>
        <v>0</v>
      </c>
      <c r="AG41" s="206">
        <f>IF(OR($Z41="",$O41=""),0,$Z41*10%)</f>
        <v>0.84000000000000008</v>
      </c>
      <c r="AH41" s="206">
        <f>IF($Z41="",0,IF(AND($P41="",$Q41=""),($Z41-$AE41-$AF41-$AG41-$AJ41-$AK41-$AL41-$AM41),IF($P41="",0,IF($Q41="",($Z41-$AE41-$AF41-$AG41-$AJ41-$AK41-$AL41-$AM41),($Z41-$AE41-$AF41-$AG41-$AJ41-$AK41-$AL41-$AM41)-$AI41))))</f>
        <v>3.6307692307692312</v>
      </c>
      <c r="AI41" s="206">
        <f>IF($Z41="",0,IF(AND($P41="",$Q41=""),0,IF($Q41="",0,IF($P41="",($Z41-$AE41-$AF41-$AG41-$AJ41-$AK41-$AL41-$AM41),($Z41-$AE41-$AF41-$AG41-$AJ41-$AK41-$AL41-$AM41)*15%/(50%+15%)))))</f>
        <v>1.0892307692307692</v>
      </c>
      <c r="AJ41" s="206">
        <f>IF($Z41="",0,IF($R41="",0,$R41))</f>
        <v>0</v>
      </c>
      <c r="AK41" s="206">
        <f>IF(OR($Z41="",$S41=""),0,$Z41*10%)</f>
        <v>0.84000000000000008</v>
      </c>
      <c r="AL41" s="206">
        <f>IF(OR($Z41="",$T41=""),0,$Z41*10%)</f>
        <v>0</v>
      </c>
      <c r="AM41" s="206">
        <f>IF($Z41="",0,IF($U41="",0,$U41))</f>
        <v>2</v>
      </c>
    </row>
    <row r="42" spans="1:39" ht="18" customHeight="1">
      <c r="A42" s="89">
        <f t="shared" si="4"/>
        <v>39</v>
      </c>
      <c r="B42" s="74" t="s">
        <v>228</v>
      </c>
      <c r="C42" s="74" t="s">
        <v>228</v>
      </c>
      <c r="D42" s="102" t="s">
        <v>237</v>
      </c>
      <c r="E42" s="250"/>
      <c r="F42" s="91" t="s">
        <v>174</v>
      </c>
      <c r="G42" s="94"/>
      <c r="H42" s="74"/>
      <c r="I42" s="74"/>
      <c r="J42" s="74"/>
      <c r="K42" s="74"/>
      <c r="L42" s="74"/>
      <c r="M42" s="74"/>
      <c r="N42" s="74"/>
      <c r="O42" s="86">
        <v>5</v>
      </c>
      <c r="P42" s="86">
        <v>17</v>
      </c>
      <c r="Q42" s="86">
        <v>5</v>
      </c>
      <c r="R42" s="74"/>
      <c r="S42" s="74">
        <v>5</v>
      </c>
      <c r="T42" s="74"/>
      <c r="U42" s="74">
        <v>2</v>
      </c>
      <c r="V42" s="83">
        <f t="shared" si="0"/>
        <v>34</v>
      </c>
      <c r="W42" s="42">
        <f t="shared" si="3"/>
        <v>17</v>
      </c>
      <c r="X42" s="42">
        <f>V42 + (V42 * (SUBSTITUTE(SUBSTITUTE($X$2, "Pessimistic (", ""), "%)", "") / 100))</f>
        <v>37.4</v>
      </c>
      <c r="Y42" s="84">
        <f t="shared" si="6"/>
        <v>31.733333333333334</v>
      </c>
      <c r="Z42" s="174">
        <f t="shared" si="2"/>
        <v>15.866666666666667</v>
      </c>
      <c r="AA42" s="186"/>
      <c r="AB42" s="186"/>
      <c r="AC42" s="186"/>
      <c r="AD42" s="187"/>
      <c r="AE42" s="206">
        <f>IF($Z42="",0,IF($M42="",0,$M42))</f>
        <v>0</v>
      </c>
      <c r="AF42" s="206">
        <f>IF(OR($Z42="",$N42=""),0,$Z42*5%)</f>
        <v>0</v>
      </c>
      <c r="AG42" s="206">
        <f>IF(OR($Z42="",$O42=""),0,$Z42*10%)</f>
        <v>1.5866666666666669</v>
      </c>
      <c r="AH42" s="206">
        <f>IF($Z42="",0,IF(AND($P42="",$Q42=""),($Z42-$AE42-$AF42-$AG42-$AJ42-$AK42-$AL42-$AM42),IF($P42="",0,IF($Q42="",($Z42-$AE42-$AF42-$AG42-$AJ42-$AK42-$AL42-$AM42),($Z42-$AE42-$AF42-$AG42-$AJ42-$AK42-$AL42-$AM42)-$AI42))))</f>
        <v>8.2256410256410266</v>
      </c>
      <c r="AI42" s="206">
        <f>IF($Z42="",0,IF(AND($P42="",$Q42=""),0,IF($Q42="",0,IF($P42="",($Z42-$AE42-$AF42-$AG42-$AJ42-$AK42-$AL42-$AM42),($Z42-$AE42-$AF42-$AG42-$AJ42-$AK42-$AL42-$AM42)*15%/(50%+15%)))))</f>
        <v>2.4676923076923081</v>
      </c>
      <c r="AJ42" s="206">
        <f>IF($Z42="",0,IF($R42="",0,$R42))</f>
        <v>0</v>
      </c>
      <c r="AK42" s="206">
        <f>IF(OR($Z42="",$S42=""),0,$Z42*10%)</f>
        <v>1.5866666666666669</v>
      </c>
      <c r="AL42" s="206">
        <f>IF(OR($Z42="",$T42=""),0,$Z42*10%)</f>
        <v>0</v>
      </c>
      <c r="AM42" s="206">
        <f>IF($Z42="",0,IF($U42="",0,$U42))</f>
        <v>2</v>
      </c>
    </row>
    <row r="43" spans="1:39" ht="18" customHeight="1">
      <c r="A43" s="89">
        <f t="shared" si="4"/>
        <v>40</v>
      </c>
      <c r="B43" s="74" t="s">
        <v>228</v>
      </c>
      <c r="C43" s="74" t="s">
        <v>228</v>
      </c>
      <c r="D43" s="102" t="s">
        <v>238</v>
      </c>
      <c r="E43" s="250"/>
      <c r="F43" s="91" t="s">
        <v>174</v>
      </c>
      <c r="G43" s="94"/>
      <c r="H43" s="74"/>
      <c r="I43" s="74"/>
      <c r="J43" s="74"/>
      <c r="K43" s="74"/>
      <c r="L43" s="74"/>
      <c r="M43" s="74"/>
      <c r="N43" s="74"/>
      <c r="O43" s="86">
        <v>3</v>
      </c>
      <c r="P43" s="86">
        <v>23</v>
      </c>
      <c r="Q43" s="86">
        <v>5</v>
      </c>
      <c r="R43" s="74"/>
      <c r="S43" s="74">
        <v>5</v>
      </c>
      <c r="T43" s="74"/>
      <c r="U43" s="74">
        <v>2</v>
      </c>
      <c r="V43" s="83">
        <f t="shared" si="0"/>
        <v>38</v>
      </c>
      <c r="W43" s="42">
        <f t="shared" si="3"/>
        <v>19</v>
      </c>
      <c r="X43" s="42">
        <f>V43 + (V43 * (SUBSTITUTE(SUBSTITUTE($X$2, "Pessimistic (", ""), "%)", "") / 100))</f>
        <v>41.8</v>
      </c>
      <c r="Y43" s="84">
        <f t="shared" si="6"/>
        <v>35.466666666666669</v>
      </c>
      <c r="Z43" s="174">
        <f t="shared" si="2"/>
        <v>17.733333333333334</v>
      </c>
      <c r="AA43" s="186"/>
      <c r="AB43" s="186"/>
      <c r="AC43" s="186"/>
      <c r="AD43" s="187"/>
      <c r="AE43" s="206">
        <f>IF($Z43="",0,IF($M43="",0,$M43))</f>
        <v>0</v>
      </c>
      <c r="AF43" s="206">
        <f>IF(OR($Z43="",$N43=""),0,$Z43*5%)</f>
        <v>0</v>
      </c>
      <c r="AG43" s="206">
        <f>IF(OR($Z43="",$O43=""),0,$Z43*10%)</f>
        <v>1.7733333333333334</v>
      </c>
      <c r="AH43" s="206">
        <f>IF($Z43="",0,IF(AND($P43="",$Q43=""),($Z43-$AE43-$AF43-$AG43-$AJ43-$AK43-$AL43-$AM43),IF($P43="",0,IF($Q43="",($Z43-$AE43-$AF43-$AG43-$AJ43-$AK43-$AL43-$AM43),($Z43-$AE43-$AF43-$AG43-$AJ43-$AK43-$AL43-$AM43)-$AI43))))</f>
        <v>9.3743589743589748</v>
      </c>
      <c r="AI43" s="206">
        <f>IF($Z43="",0,IF(AND($P43="",$Q43=""),0,IF($Q43="",0,IF($P43="",($Z43-$AE43-$AF43-$AG43-$AJ43-$AK43-$AL43-$AM43),($Z43-$AE43-$AF43-$AG43-$AJ43-$AK43-$AL43-$AM43)*15%/(50%+15%)))))</f>
        <v>2.8123076923076922</v>
      </c>
      <c r="AJ43" s="206">
        <f>IF($Z43="",0,IF($R43="",0,$R43))</f>
        <v>0</v>
      </c>
      <c r="AK43" s="206">
        <f>IF(OR($Z43="",$S43=""),0,$Z43*10%)</f>
        <v>1.7733333333333334</v>
      </c>
      <c r="AL43" s="206">
        <f>IF(OR($Z43="",$T43=""),0,$Z43*10%)</f>
        <v>0</v>
      </c>
      <c r="AM43" s="206">
        <f>IF($Z43="",0,IF($U43="",0,$U43))</f>
        <v>2</v>
      </c>
    </row>
    <row r="44" spans="1:39" ht="18" customHeight="1">
      <c r="A44" s="89">
        <f t="shared" si="4"/>
        <v>41</v>
      </c>
      <c r="B44" s="74" t="s">
        <v>228</v>
      </c>
      <c r="C44" s="74" t="s">
        <v>228</v>
      </c>
      <c r="D44" s="102" t="s">
        <v>239</v>
      </c>
      <c r="E44" s="250"/>
      <c r="F44" s="91" t="s">
        <v>174</v>
      </c>
      <c r="G44" s="94"/>
      <c r="H44" s="74"/>
      <c r="I44" s="74"/>
      <c r="J44" s="74"/>
      <c r="K44" s="74"/>
      <c r="L44" s="74"/>
      <c r="M44" s="74"/>
      <c r="N44" s="74"/>
      <c r="O44" s="86">
        <v>1</v>
      </c>
      <c r="P44" s="86">
        <v>5</v>
      </c>
      <c r="Q44" s="86">
        <v>3</v>
      </c>
      <c r="R44" s="74"/>
      <c r="S44" s="74">
        <v>5</v>
      </c>
      <c r="T44" s="74"/>
      <c r="U44" s="74">
        <v>2</v>
      </c>
      <c r="V44" s="83">
        <f t="shared" si="0"/>
        <v>16</v>
      </c>
      <c r="W44" s="42">
        <f t="shared" si="3"/>
        <v>8</v>
      </c>
      <c r="X44" s="42">
        <f>V44 + (V44 * (SUBSTITUTE(SUBSTITUTE($X$2, "Pessimistic (", ""), "%)", "") / 100))</f>
        <v>17.600000000000001</v>
      </c>
      <c r="Y44" s="84">
        <f t="shared" si="6"/>
        <v>14.933333333333332</v>
      </c>
      <c r="Z44" s="174">
        <f t="shared" si="2"/>
        <v>7.4666666666666659</v>
      </c>
      <c r="AA44" s="186"/>
      <c r="AB44" s="186"/>
      <c r="AC44" s="186"/>
      <c r="AD44" s="187"/>
      <c r="AE44" s="206">
        <f>IF($Z44="",0,IF($M44="",0,$M44))</f>
        <v>0</v>
      </c>
      <c r="AF44" s="206">
        <f>IF(OR($Z44="",$N44=""),0,$Z44*5%)</f>
        <v>0</v>
      </c>
      <c r="AG44" s="206">
        <f>IF(OR($Z44="",$O44=""),0,$Z44*10%)</f>
        <v>0.74666666666666659</v>
      </c>
      <c r="AH44" s="206">
        <f>IF($Z44="",0,IF(AND($P44="",$Q44=""),($Z44-$AE44-$AF44-$AG44-$AJ44-$AK44-$AL44-$AM44),IF($P44="",0,IF($Q44="",($Z44-$AE44-$AF44-$AG44-$AJ44-$AK44-$AL44-$AM44),($Z44-$AE44-$AF44-$AG44-$AJ44-$AK44-$AL44-$AM44)-$AI44))))</f>
        <v>3.0564102564102562</v>
      </c>
      <c r="AI44" s="206">
        <f>IF($Z44="",0,IF(AND($P44="",$Q44=""),0,IF($Q44="",0,IF($P44="",($Z44-$AE44-$AF44-$AG44-$AJ44-$AK44-$AL44-$AM44),($Z44-$AE44-$AF44-$AG44-$AJ44-$AK44-$AL44-$AM44)*15%/(50%+15%)))))</f>
        <v>0.91692307692307673</v>
      </c>
      <c r="AJ44" s="206">
        <f>IF($Z44="",0,IF($R44="",0,$R44))</f>
        <v>0</v>
      </c>
      <c r="AK44" s="206">
        <f>IF(OR($Z44="",$S44=""),0,$Z44*10%)</f>
        <v>0.74666666666666659</v>
      </c>
      <c r="AL44" s="206">
        <f>IF(OR($Z44="",$T44=""),0,$Z44*10%)</f>
        <v>0</v>
      </c>
      <c r="AM44" s="206">
        <f>IF($Z44="",0,IF($U44="",0,$U44))</f>
        <v>2</v>
      </c>
    </row>
    <row r="45" spans="1:39" ht="18" customHeight="1">
      <c r="A45" s="89">
        <f t="shared" si="4"/>
        <v>42</v>
      </c>
      <c r="B45" s="74" t="s">
        <v>228</v>
      </c>
      <c r="C45" s="74" t="s">
        <v>228</v>
      </c>
      <c r="D45" s="102" t="s">
        <v>240</v>
      </c>
      <c r="E45" s="250"/>
      <c r="F45" s="91" t="s">
        <v>174</v>
      </c>
      <c r="G45" s="94"/>
      <c r="H45" s="74"/>
      <c r="I45" s="74"/>
      <c r="J45" s="74"/>
      <c r="K45" s="74"/>
      <c r="L45" s="74"/>
      <c r="M45" s="74"/>
      <c r="N45" s="74"/>
      <c r="O45" s="86">
        <v>0</v>
      </c>
      <c r="P45" s="86">
        <v>2</v>
      </c>
      <c r="Q45" s="86">
        <v>1</v>
      </c>
      <c r="R45" s="74"/>
      <c r="S45" s="74">
        <v>5</v>
      </c>
      <c r="T45" s="74"/>
      <c r="U45" s="74">
        <v>2</v>
      </c>
      <c r="V45" s="83">
        <f t="shared" si="0"/>
        <v>10</v>
      </c>
      <c r="W45" s="42">
        <f t="shared" si="3"/>
        <v>5</v>
      </c>
      <c r="X45" s="42">
        <f>V45 + (V45 * (SUBSTITUTE(SUBSTITUTE($X$2, "Pessimistic (", ""), "%)", "") / 100))</f>
        <v>11</v>
      </c>
      <c r="Y45" s="84">
        <f t="shared" si="6"/>
        <v>9.3333333333333339</v>
      </c>
      <c r="Z45" s="174">
        <f t="shared" si="2"/>
        <v>4.666666666666667</v>
      </c>
      <c r="AA45" s="186"/>
      <c r="AB45" s="186"/>
      <c r="AC45" s="186"/>
      <c r="AD45" s="187"/>
      <c r="AE45" s="206">
        <f>IF($Z45="",0,IF($M45="",0,$M45))</f>
        <v>0</v>
      </c>
      <c r="AF45" s="206">
        <f>IF(OR($Z45="",$N45=""),0,$Z45*5%)</f>
        <v>0</v>
      </c>
      <c r="AG45" s="206">
        <f>IF(OR($Z45="",$O45=""),0,$Z45*10%)</f>
        <v>0.46666666666666673</v>
      </c>
      <c r="AH45" s="206">
        <f>IF($Z45="",0,IF(AND($P45="",$Q45=""),($Z45-$AE45-$AF45-$AG45-$AJ45-$AK45-$AL45-$AM45),IF($P45="",0,IF($Q45="",($Z45-$AE45-$AF45-$AG45-$AJ45-$AK45-$AL45-$AM45),($Z45-$AE45-$AF45-$AG45-$AJ45-$AK45-$AL45-$AM45)-$AI45))))</f>
        <v>1.3333333333333335</v>
      </c>
      <c r="AI45" s="206">
        <f>IF($Z45="",0,IF(AND($P45="",$Q45=""),0,IF($Q45="",0,IF($P45="",($Z45-$AE45-$AF45-$AG45-$AJ45-$AK45-$AL45-$AM45),($Z45-$AE45-$AF45-$AG45-$AJ45-$AK45-$AL45-$AM45)*15%/(50%+15%)))))</f>
        <v>0.4</v>
      </c>
      <c r="AJ45" s="206">
        <f>IF($Z45="",0,IF($R45="",0,$R45))</f>
        <v>0</v>
      </c>
      <c r="AK45" s="206">
        <f>IF(OR($Z45="",$S45=""),0,$Z45*10%)</f>
        <v>0.46666666666666673</v>
      </c>
      <c r="AL45" s="206">
        <f>IF(OR($Z45="",$T45=""),0,$Z45*10%)</f>
        <v>0</v>
      </c>
      <c r="AM45" s="206">
        <f>IF($Z45="",0,IF($U45="",0,$U45))</f>
        <v>2</v>
      </c>
    </row>
    <row r="46" spans="1:39" ht="18" customHeight="1">
      <c r="A46" s="89">
        <f t="shared" si="4"/>
        <v>43</v>
      </c>
      <c r="B46" s="74" t="s">
        <v>228</v>
      </c>
      <c r="C46" s="74" t="s">
        <v>228</v>
      </c>
      <c r="D46" s="102" t="s">
        <v>241</v>
      </c>
      <c r="E46" s="250"/>
      <c r="F46" s="91" t="s">
        <v>174</v>
      </c>
      <c r="G46" s="94"/>
      <c r="H46" s="74"/>
      <c r="I46" s="74"/>
      <c r="J46" s="74"/>
      <c r="K46" s="74"/>
      <c r="L46" s="74"/>
      <c r="M46" s="74"/>
      <c r="N46" s="74"/>
      <c r="O46" s="86">
        <v>0</v>
      </c>
      <c r="P46" s="86">
        <v>1</v>
      </c>
      <c r="Q46" s="86">
        <v>2</v>
      </c>
      <c r="R46" s="74"/>
      <c r="S46" s="74">
        <v>5</v>
      </c>
      <c r="T46" s="74"/>
      <c r="U46" s="74">
        <v>2</v>
      </c>
      <c r="V46" s="83">
        <f t="shared" si="0"/>
        <v>10</v>
      </c>
      <c r="W46" s="42">
        <f t="shared" si="3"/>
        <v>5</v>
      </c>
      <c r="X46" s="42">
        <f>V46 + (V46 * (SUBSTITUTE(SUBSTITUTE($X$2, "Pessimistic (", ""), "%)", "") / 100))</f>
        <v>11</v>
      </c>
      <c r="Y46" s="84">
        <f t="shared" si="6"/>
        <v>9.3333333333333339</v>
      </c>
      <c r="Z46" s="174">
        <f t="shared" si="2"/>
        <v>4.666666666666667</v>
      </c>
      <c r="AA46" s="186"/>
      <c r="AB46" s="186"/>
      <c r="AC46" s="186"/>
      <c r="AD46" s="187"/>
      <c r="AE46" s="206">
        <f>IF($Z46="",0,IF($M46="",0,$M46))</f>
        <v>0</v>
      </c>
      <c r="AF46" s="206">
        <f>IF(OR($Z46="",$N46=""),0,$Z46*5%)</f>
        <v>0</v>
      </c>
      <c r="AG46" s="206">
        <f>IF(OR($Z46="",$O46=""),0,$Z46*10%)</f>
        <v>0.46666666666666673</v>
      </c>
      <c r="AH46" s="206">
        <f>IF($Z46="",0,IF(AND($P46="",$Q46=""),($Z46-$AE46-$AF46-$AG46-$AJ46-$AK46-$AL46-$AM46),IF($P46="",0,IF($Q46="",($Z46-$AE46-$AF46-$AG46-$AJ46-$AK46-$AL46-$AM46),($Z46-$AE46-$AF46-$AG46-$AJ46-$AK46-$AL46-$AM46)-$AI46))))</f>
        <v>1.3333333333333335</v>
      </c>
      <c r="AI46" s="206">
        <f>IF($Z46="",0,IF(AND($P46="",$Q46=""),0,IF($Q46="",0,IF($P46="",($Z46-$AE46-$AF46-$AG46-$AJ46-$AK46-$AL46-$AM46),($Z46-$AE46-$AF46-$AG46-$AJ46-$AK46-$AL46-$AM46)*15%/(50%+15%)))))</f>
        <v>0.4</v>
      </c>
      <c r="AJ46" s="206">
        <f>IF($Z46="",0,IF($R46="",0,$R46))</f>
        <v>0</v>
      </c>
      <c r="AK46" s="206">
        <f>IF(OR($Z46="",$S46=""),0,$Z46*10%)</f>
        <v>0.46666666666666673</v>
      </c>
      <c r="AL46" s="206">
        <f>IF(OR($Z46="",$T46=""),0,$Z46*10%)</f>
        <v>0</v>
      </c>
      <c r="AM46" s="206">
        <f>IF($Z46="",0,IF($U46="",0,$U46))</f>
        <v>2</v>
      </c>
    </row>
    <row r="47" spans="1:39" ht="18" customHeight="1">
      <c r="A47" s="89">
        <f t="shared" si="4"/>
        <v>44</v>
      </c>
      <c r="B47" s="74" t="s">
        <v>228</v>
      </c>
      <c r="C47" s="74" t="s">
        <v>228</v>
      </c>
      <c r="D47" s="102" t="s">
        <v>242</v>
      </c>
      <c r="E47" s="250"/>
      <c r="F47" s="91" t="s">
        <v>174</v>
      </c>
      <c r="G47" s="94"/>
      <c r="H47" s="74"/>
      <c r="I47" s="74"/>
      <c r="J47" s="74"/>
      <c r="K47" s="74"/>
      <c r="L47" s="74"/>
      <c r="M47" s="74"/>
      <c r="N47" s="74"/>
      <c r="O47" s="86">
        <v>3</v>
      </c>
      <c r="P47" s="86">
        <v>15</v>
      </c>
      <c r="Q47" s="86">
        <v>5</v>
      </c>
      <c r="R47" s="74"/>
      <c r="S47" s="74">
        <v>5</v>
      </c>
      <c r="T47" s="74"/>
      <c r="U47" s="74">
        <v>2</v>
      </c>
      <c r="V47" s="83">
        <f t="shared" si="0"/>
        <v>30</v>
      </c>
      <c r="W47" s="42">
        <f t="shared" si="3"/>
        <v>15</v>
      </c>
      <c r="X47" s="42">
        <f>V47 + (V47 * (SUBSTITUTE(SUBSTITUTE($X$2, "Pessimistic (", ""), "%)", "") / 100))</f>
        <v>33</v>
      </c>
      <c r="Y47" s="84">
        <f t="shared" si="6"/>
        <v>28</v>
      </c>
      <c r="Z47" s="174">
        <f t="shared" si="2"/>
        <v>14</v>
      </c>
      <c r="AA47" s="186"/>
      <c r="AB47" s="186"/>
      <c r="AC47" s="186"/>
      <c r="AD47" s="187"/>
      <c r="AE47" s="206">
        <f>IF($Z47="",0,IF($M47="",0,$M47))</f>
        <v>0</v>
      </c>
      <c r="AF47" s="206">
        <f>IF(OR($Z47="",$N47=""),0,$Z47*5%)</f>
        <v>0</v>
      </c>
      <c r="AG47" s="206">
        <f>IF(OR($Z47="",$O47=""),0,$Z47*10%)</f>
        <v>1.4000000000000001</v>
      </c>
      <c r="AH47" s="206">
        <f>IF($Z47="",0,IF(AND($P47="",$Q47=""),($Z47-$AE47-$AF47-$AG47-$AJ47-$AK47-$AL47-$AM47),IF($P47="",0,IF($Q47="",($Z47-$AE47-$AF47-$AG47-$AJ47-$AK47-$AL47-$AM47),($Z47-$AE47-$AF47-$AG47-$AJ47-$AK47-$AL47-$AM47)-$AI47))))</f>
        <v>7.0769230769230766</v>
      </c>
      <c r="AI47" s="206">
        <f>IF($Z47="",0,IF(AND($P47="",$Q47=""),0,IF($Q47="",0,IF($P47="",($Z47-$AE47-$AF47-$AG47-$AJ47-$AK47-$AL47-$AM47),($Z47-$AE47-$AF47-$AG47-$AJ47-$AK47-$AL47-$AM47)*15%/(50%+15%)))))</f>
        <v>2.1230769230769226</v>
      </c>
      <c r="AJ47" s="206">
        <f>IF($Z47="",0,IF($R47="",0,$R47))</f>
        <v>0</v>
      </c>
      <c r="AK47" s="206">
        <f>IF(OR($Z47="",$S47=""),0,$Z47*10%)</f>
        <v>1.4000000000000001</v>
      </c>
      <c r="AL47" s="206">
        <f>IF(OR($Z47="",$T47=""),0,$Z47*10%)</f>
        <v>0</v>
      </c>
      <c r="AM47" s="206">
        <f>IF($Z47="",0,IF($U47="",0,$U47))</f>
        <v>2</v>
      </c>
    </row>
    <row r="48" spans="1:39" ht="18" customHeight="1">
      <c r="A48" s="89">
        <f t="shared" si="4"/>
        <v>45</v>
      </c>
      <c r="B48" s="74" t="s">
        <v>228</v>
      </c>
      <c r="C48" s="74" t="s">
        <v>228</v>
      </c>
      <c r="D48" s="102" t="s">
        <v>243</v>
      </c>
      <c r="E48" s="250"/>
      <c r="F48" s="91" t="s">
        <v>174</v>
      </c>
      <c r="G48" s="94"/>
      <c r="H48" s="74"/>
      <c r="I48" s="74"/>
      <c r="J48" s="74"/>
      <c r="K48" s="74"/>
      <c r="L48" s="74"/>
      <c r="M48" s="74"/>
      <c r="N48" s="74"/>
      <c r="O48" s="86">
        <v>0</v>
      </c>
      <c r="P48" s="86">
        <v>3</v>
      </c>
      <c r="Q48" s="86">
        <v>3</v>
      </c>
      <c r="R48" s="74"/>
      <c r="S48" s="74">
        <v>5</v>
      </c>
      <c r="T48" s="74"/>
      <c r="U48" s="74">
        <v>2</v>
      </c>
      <c r="V48" s="83">
        <f t="shared" si="0"/>
        <v>13</v>
      </c>
      <c r="W48" s="42">
        <f t="shared" si="3"/>
        <v>6.5</v>
      </c>
      <c r="X48" s="42">
        <f>V48 + (V48 * (SUBSTITUTE(SUBSTITUTE($X$2, "Pessimistic (", ""), "%)", "") / 100))</f>
        <v>14.3</v>
      </c>
      <c r="Y48" s="84">
        <f t="shared" si="6"/>
        <v>12.133333333333333</v>
      </c>
      <c r="Z48" s="174">
        <f t="shared" si="2"/>
        <v>6.0666666666666664</v>
      </c>
      <c r="AA48" s="186"/>
      <c r="AB48" s="186"/>
      <c r="AC48" s="186"/>
      <c r="AD48" s="187"/>
      <c r="AE48" s="206">
        <f>IF($Z48="",0,IF($M48="",0,$M48))</f>
        <v>0</v>
      </c>
      <c r="AF48" s="206">
        <f>IF(OR($Z48="",$N48=""),0,$Z48*5%)</f>
        <v>0</v>
      </c>
      <c r="AG48" s="206">
        <f>IF(OR($Z48="",$O48=""),0,$Z48*10%)</f>
        <v>0.60666666666666669</v>
      </c>
      <c r="AH48" s="206">
        <f>IF($Z48="",0,IF(AND($P48="",$Q48=""),($Z48-$AE48-$AF48-$AG48-$AJ48-$AK48-$AL48-$AM48),IF($P48="",0,IF($Q48="",($Z48-$AE48-$AF48-$AG48-$AJ48-$AK48-$AL48-$AM48),($Z48-$AE48-$AF48-$AG48-$AJ48-$AK48-$AL48-$AM48)-$AI48))))</f>
        <v>2.1948717948717951</v>
      </c>
      <c r="AI48" s="206">
        <f>IF($Z48="",0,IF(AND($P48="",$Q48=""),0,IF($Q48="",0,IF($P48="",($Z48-$AE48-$AF48-$AG48-$AJ48-$AK48-$AL48-$AM48),($Z48-$AE48-$AF48-$AG48-$AJ48-$AK48-$AL48-$AM48)*15%/(50%+15%)))))</f>
        <v>0.65846153846153843</v>
      </c>
      <c r="AJ48" s="206">
        <f>IF($Z48="",0,IF($R48="",0,$R48))</f>
        <v>0</v>
      </c>
      <c r="AK48" s="206">
        <f>IF(OR($Z48="",$S48=""),0,$Z48*10%)</f>
        <v>0.60666666666666669</v>
      </c>
      <c r="AL48" s="206">
        <f>IF(OR($Z48="",$T48=""),0,$Z48*10%)</f>
        <v>0</v>
      </c>
      <c r="AM48" s="206">
        <f>IF($Z48="",0,IF($U48="",0,$U48))</f>
        <v>2</v>
      </c>
    </row>
    <row r="49" spans="1:39" ht="18" customHeight="1">
      <c r="A49" s="89">
        <f t="shared" si="4"/>
        <v>46</v>
      </c>
      <c r="B49" s="74" t="s">
        <v>228</v>
      </c>
      <c r="C49" s="74" t="s">
        <v>228</v>
      </c>
      <c r="D49" s="102" t="s">
        <v>244</v>
      </c>
      <c r="E49" s="250"/>
      <c r="F49" s="91" t="s">
        <v>174</v>
      </c>
      <c r="G49" s="94"/>
      <c r="H49" s="74"/>
      <c r="I49" s="74"/>
      <c r="J49" s="74"/>
      <c r="K49" s="74"/>
      <c r="L49" s="74"/>
      <c r="M49" s="74"/>
      <c r="N49" s="74"/>
      <c r="O49" s="86">
        <v>5</v>
      </c>
      <c r="P49" s="86">
        <v>15</v>
      </c>
      <c r="Q49" s="86">
        <v>8</v>
      </c>
      <c r="R49" s="74"/>
      <c r="S49" s="74">
        <v>5</v>
      </c>
      <c r="T49" s="74"/>
      <c r="U49" s="74">
        <v>2</v>
      </c>
      <c r="V49" s="83">
        <f t="shared" si="0"/>
        <v>35</v>
      </c>
      <c r="W49" s="42">
        <f t="shared" si="3"/>
        <v>17.5</v>
      </c>
      <c r="X49" s="42">
        <f>V49 + (V49 * (SUBSTITUTE(SUBSTITUTE($X$2, "Pessimistic (", ""), "%)", "") / 100))</f>
        <v>38.5</v>
      </c>
      <c r="Y49" s="84">
        <f t="shared" si="6"/>
        <v>32.666666666666664</v>
      </c>
      <c r="Z49" s="174">
        <f t="shared" si="2"/>
        <v>16.333333333333332</v>
      </c>
      <c r="AA49" s="186"/>
      <c r="AB49" s="186"/>
      <c r="AC49" s="186"/>
      <c r="AD49" s="187"/>
      <c r="AE49" s="206">
        <f>IF($Z49="",0,IF($M49="",0,$M49))</f>
        <v>0</v>
      </c>
      <c r="AF49" s="206">
        <f>IF(OR($Z49="",$N49=""),0,$Z49*5%)</f>
        <v>0</v>
      </c>
      <c r="AG49" s="206">
        <f>IF(OR($Z49="",$O49=""),0,$Z49*10%)</f>
        <v>1.6333333333333333</v>
      </c>
      <c r="AH49" s="206">
        <f>IF($Z49="",0,IF(AND($P49="",$Q49=""),($Z49-$AE49-$AF49-$AG49-$AJ49-$AK49-$AL49-$AM49),IF($P49="",0,IF($Q49="",($Z49-$AE49-$AF49-$AG49-$AJ49-$AK49-$AL49-$AM49),($Z49-$AE49-$AF49-$AG49-$AJ49-$AK49-$AL49-$AM49)-$AI49))))</f>
        <v>8.5128205128205128</v>
      </c>
      <c r="AI49" s="206">
        <f>IF($Z49="",0,IF(AND($P49="",$Q49=""),0,IF($Q49="",0,IF($P49="",($Z49-$AE49-$AF49-$AG49-$AJ49-$AK49-$AL49-$AM49),($Z49-$AE49-$AF49-$AG49-$AJ49-$AK49-$AL49-$AM49)*15%/(50%+15%)))))</f>
        <v>2.5538461538461537</v>
      </c>
      <c r="AJ49" s="206">
        <f>IF($Z49="",0,IF($R49="",0,$R49))</f>
        <v>0</v>
      </c>
      <c r="AK49" s="206">
        <f>IF(OR($Z49="",$S49=""),0,$Z49*10%)</f>
        <v>1.6333333333333333</v>
      </c>
      <c r="AL49" s="206">
        <f>IF(OR($Z49="",$T49=""),0,$Z49*10%)</f>
        <v>0</v>
      </c>
      <c r="AM49" s="206">
        <f>IF($Z49="",0,IF($U49="",0,$U49))</f>
        <v>2</v>
      </c>
    </row>
    <row r="50" spans="1:39" ht="18" customHeight="1">
      <c r="A50" s="89">
        <f t="shared" si="4"/>
        <v>47</v>
      </c>
      <c r="B50" s="74" t="s">
        <v>228</v>
      </c>
      <c r="C50" s="74" t="s">
        <v>228</v>
      </c>
      <c r="D50" s="102" t="s">
        <v>245</v>
      </c>
      <c r="E50" s="250"/>
      <c r="F50" s="91" t="s">
        <v>174</v>
      </c>
      <c r="G50" s="94"/>
      <c r="H50" s="74"/>
      <c r="I50" s="74"/>
      <c r="J50" s="74"/>
      <c r="K50" s="74"/>
      <c r="L50" s="74"/>
      <c r="M50" s="74"/>
      <c r="N50" s="74"/>
      <c r="O50" s="86">
        <v>0</v>
      </c>
      <c r="P50" s="86">
        <v>6</v>
      </c>
      <c r="Q50" s="86">
        <v>4</v>
      </c>
      <c r="R50" s="74"/>
      <c r="S50" s="74">
        <v>5</v>
      </c>
      <c r="T50" s="74"/>
      <c r="U50" s="74">
        <v>2</v>
      </c>
      <c r="V50" s="83">
        <f t="shared" si="0"/>
        <v>17</v>
      </c>
      <c r="W50" s="42">
        <f t="shared" si="3"/>
        <v>8.5</v>
      </c>
      <c r="X50" s="42">
        <f>V50 + (V50 * (SUBSTITUTE(SUBSTITUTE($X$2, "Pessimistic (", ""), "%)", "") / 100))</f>
        <v>18.7</v>
      </c>
      <c r="Y50" s="84">
        <f t="shared" si="6"/>
        <v>15.866666666666667</v>
      </c>
      <c r="Z50" s="174">
        <f t="shared" si="2"/>
        <v>7.9333333333333336</v>
      </c>
      <c r="AA50" s="186"/>
      <c r="AB50" s="186"/>
      <c r="AC50" s="186"/>
      <c r="AD50" s="187"/>
      <c r="AE50" s="206">
        <f>IF($Z50="",0,IF($M50="",0,$M50))</f>
        <v>0</v>
      </c>
      <c r="AF50" s="206">
        <f>IF(OR($Z50="",$N50=""),0,$Z50*5%)</f>
        <v>0</v>
      </c>
      <c r="AG50" s="206">
        <f>IF(OR($Z50="",$O50=""),0,$Z50*10%)</f>
        <v>0.79333333333333345</v>
      </c>
      <c r="AH50" s="206">
        <f>IF($Z50="",0,IF(AND($P50="",$Q50=""),($Z50-$AE50-$AF50-$AG50-$AJ50-$AK50-$AL50-$AM50),IF($P50="",0,IF($Q50="",($Z50-$AE50-$AF50-$AG50-$AJ50-$AK50-$AL50-$AM50),($Z50-$AE50-$AF50-$AG50-$AJ50-$AK50-$AL50-$AM50)-$AI50))))</f>
        <v>3.3435897435897441</v>
      </c>
      <c r="AI50" s="206">
        <f>IF($Z50="",0,IF(AND($P50="",$Q50=""),0,IF($Q50="",0,IF($P50="",($Z50-$AE50-$AF50-$AG50-$AJ50-$AK50-$AL50-$AM50),($Z50-$AE50-$AF50-$AG50-$AJ50-$AK50-$AL50-$AM50)*15%/(50%+15%)))))</f>
        <v>1.0030769230769232</v>
      </c>
      <c r="AJ50" s="206">
        <f>IF($Z50="",0,IF($R50="",0,$R50))</f>
        <v>0</v>
      </c>
      <c r="AK50" s="206">
        <f>IF(OR($Z50="",$S50=""),0,$Z50*10%)</f>
        <v>0.79333333333333345</v>
      </c>
      <c r="AL50" s="206">
        <f>IF(OR($Z50="",$T50=""),0,$Z50*10%)</f>
        <v>0</v>
      </c>
      <c r="AM50" s="206">
        <f>IF($Z50="",0,IF($U50="",0,$U50))</f>
        <v>2</v>
      </c>
    </row>
    <row r="51" spans="1:39" ht="18" customHeight="1">
      <c r="A51" s="89">
        <f t="shared" si="4"/>
        <v>48</v>
      </c>
      <c r="B51" s="74" t="s">
        <v>228</v>
      </c>
      <c r="C51" s="74" t="s">
        <v>228</v>
      </c>
      <c r="D51" s="108" t="s">
        <v>246</v>
      </c>
      <c r="E51" s="251"/>
      <c r="F51" s="91" t="s">
        <v>174</v>
      </c>
      <c r="G51" s="94"/>
      <c r="H51" s="74"/>
      <c r="I51" s="74"/>
      <c r="J51" s="74"/>
      <c r="K51" s="74"/>
      <c r="L51" s="74"/>
      <c r="M51" s="74"/>
      <c r="N51" s="74"/>
      <c r="O51" s="86" t="s">
        <v>247</v>
      </c>
      <c r="P51" s="86" t="s">
        <v>247</v>
      </c>
      <c r="Q51" s="86" t="s">
        <v>247</v>
      </c>
      <c r="R51" s="74"/>
      <c r="S51" s="74">
        <v>5</v>
      </c>
      <c r="T51" s="74"/>
      <c r="U51" s="74">
        <v>2</v>
      </c>
      <c r="V51" s="83">
        <f t="shared" si="0"/>
        <v>7</v>
      </c>
      <c r="W51" s="42">
        <f t="shared" si="3"/>
        <v>3.5</v>
      </c>
      <c r="X51" s="42">
        <f>V51 + (V51 * (SUBSTITUTE(SUBSTITUTE($X$2, "Pessimistic (", ""), "%)", "") / 100))</f>
        <v>7.7</v>
      </c>
      <c r="Y51" s="84">
        <f t="shared" si="6"/>
        <v>6.5333333333333341</v>
      </c>
      <c r="Z51" s="174">
        <f t="shared" si="2"/>
        <v>3.2666666666666671</v>
      </c>
      <c r="AA51" s="186"/>
      <c r="AB51" s="186"/>
      <c r="AC51" s="186"/>
      <c r="AD51" s="187"/>
      <c r="AE51" s="206">
        <f>IF($Z51="",0,IF($M51="",0,$M51))</f>
        <v>0</v>
      </c>
      <c r="AF51" s="206">
        <f>IF(OR($Z51="",$N51=""),0,$Z51*5%)</f>
        <v>0</v>
      </c>
      <c r="AG51" s="206">
        <f>IF(OR($Z51="",$O51=""),0,$Z51*10%)</f>
        <v>0.32666666666666672</v>
      </c>
      <c r="AH51" s="206">
        <f>IF($Z51="",0,IF(AND($P51="",$Q51=""),($Z51-$AE51-$AF51-$AG51-$AJ51-$AK51-$AL51-$AM51),IF($P51="",0,IF($Q51="",($Z51-$AE51-$AF51-$AG51-$AJ51-$AK51-$AL51-$AM51),($Z51-$AE51-$AF51-$AG51-$AJ51-$AK51-$AL51-$AM51)-$AI51))))</f>
        <v>0.47179487179487212</v>
      </c>
      <c r="AI51" s="206">
        <f>IF($Z51="",0,IF(AND($P51="",$Q51=""),0,IF($Q51="",0,IF($P51="",($Z51-$AE51-$AF51-$AG51-$AJ51-$AK51-$AL51-$AM51),($Z51-$AE51-$AF51-$AG51-$AJ51-$AK51-$AL51-$AM51)*15%/(50%+15%)))))</f>
        <v>0.14153846153846161</v>
      </c>
      <c r="AJ51" s="206">
        <f>IF($Z51="",0,IF($R51="",0,$R51))</f>
        <v>0</v>
      </c>
      <c r="AK51" s="206">
        <f>IF(OR($Z51="",$S51=""),0,$Z51*10%)</f>
        <v>0.32666666666666672</v>
      </c>
      <c r="AL51" s="206">
        <f>IF(OR($Z51="",$T51=""),0,$Z51*10%)</f>
        <v>0</v>
      </c>
      <c r="AM51" s="206">
        <f>IF($Z51="",0,IF($U51="",0,$U51))</f>
        <v>2</v>
      </c>
    </row>
    <row r="52" spans="1:39" ht="18" hidden="1" customHeight="1">
      <c r="A52" s="89">
        <f t="shared" si="4"/>
        <v>49</v>
      </c>
      <c r="B52" s="74" t="s">
        <v>228</v>
      </c>
      <c r="C52" s="74" t="s">
        <v>228</v>
      </c>
      <c r="D52" s="102" t="s">
        <v>248</v>
      </c>
      <c r="E52" s="250"/>
      <c r="F52" s="91" t="s">
        <v>249</v>
      </c>
      <c r="G52" s="94"/>
      <c r="H52" s="74"/>
      <c r="I52" s="74"/>
      <c r="J52" s="74"/>
      <c r="K52" s="74"/>
      <c r="L52" s="74"/>
      <c r="M52" s="74"/>
      <c r="N52" s="74"/>
      <c r="O52" s="86">
        <v>0</v>
      </c>
      <c r="P52" s="86">
        <v>3</v>
      </c>
      <c r="Q52" s="86">
        <v>1</v>
      </c>
      <c r="R52" s="74"/>
      <c r="S52" s="74">
        <v>5</v>
      </c>
      <c r="T52" s="74"/>
      <c r="U52" s="74">
        <v>2</v>
      </c>
      <c r="V52" s="83">
        <f t="shared" si="0"/>
        <v>11</v>
      </c>
      <c r="W52" s="42">
        <f t="shared" si="3"/>
        <v>5.5</v>
      </c>
      <c r="X52" s="42">
        <f>V52 + (V52 * (SUBSTITUTE(SUBSTITUTE($X$2, "Pessimistic (", ""), "%)", "") / 100))</f>
        <v>12.1</v>
      </c>
      <c r="Y52" s="84">
        <f t="shared" si="6"/>
        <v>10.266666666666667</v>
      </c>
      <c r="Z52" s="174">
        <f t="shared" si="2"/>
        <v>5.1333333333333337</v>
      </c>
      <c r="AA52" s="186"/>
      <c r="AB52" s="186"/>
      <c r="AC52" s="186"/>
      <c r="AD52" s="187"/>
      <c r="AE52" s="206">
        <f>IF($Z52="",0,IF($M52="",0,$M52))</f>
        <v>0</v>
      </c>
      <c r="AF52" s="206">
        <f>IF(OR($Z52="",$N52=""),0,$Z52*5%)</f>
        <v>0</v>
      </c>
      <c r="AG52" s="206">
        <f>IF(OR($Z52="",$O52=""),0,$Z52*10%)</f>
        <v>0.51333333333333342</v>
      </c>
      <c r="AH52" s="206">
        <f>IF($Z52="",0,IF(AND($P52="",$Q52=""),($Z52-$AE52-$AF52-$AG52-$AJ52-$AK52-$AL52-$AM52),IF($P52="",0,IF($Q52="",($Z52-$AE52-$AF52-$AG52-$AJ52-$AK52-$AL52-$AM52),($Z52-$AE52-$AF52-$AG52-$AJ52-$AK52-$AL52-$AM52)-$AI52))))</f>
        <v>1.6205128205128205</v>
      </c>
      <c r="AI52" s="206">
        <f>IF($Z52="",0,IF(AND($P52="",$Q52=""),0,IF($Q52="",0,IF($P52="",($Z52-$AE52-$AF52-$AG52-$AJ52-$AK52-$AL52-$AM52),($Z52-$AE52-$AF52-$AG52-$AJ52-$AK52-$AL52-$AM52)*15%/(50%+15%)))))</f>
        <v>0.48615384615384605</v>
      </c>
      <c r="AJ52" s="206">
        <f>IF($Z52="",0,IF($R52="",0,$R52))</f>
        <v>0</v>
      </c>
      <c r="AK52" s="206">
        <f>IF(OR($Z52="",$S52=""),0,$Z52*10%)</f>
        <v>0.51333333333333342</v>
      </c>
      <c r="AL52" s="206">
        <f>IF(OR($Z52="",$T52=""),0,$Z52*10%)</f>
        <v>0</v>
      </c>
      <c r="AM52" s="206">
        <f>IF($Z52="",0,IF($U52="",0,$U52))</f>
        <v>2</v>
      </c>
    </row>
    <row r="53" spans="1:39" ht="18" hidden="1" customHeight="1">
      <c r="A53" s="89">
        <f t="shared" si="4"/>
        <v>50</v>
      </c>
      <c r="B53" s="74" t="s">
        <v>228</v>
      </c>
      <c r="C53" s="74" t="s">
        <v>228</v>
      </c>
      <c r="D53" s="102" t="s">
        <v>250</v>
      </c>
      <c r="E53" s="250"/>
      <c r="F53" s="91" t="s">
        <v>249</v>
      </c>
      <c r="G53" s="94"/>
      <c r="H53" s="74"/>
      <c r="I53" s="74"/>
      <c r="J53" s="74"/>
      <c r="K53" s="74"/>
      <c r="L53" s="74"/>
      <c r="M53" s="74"/>
      <c r="N53" s="74"/>
      <c r="O53" s="86">
        <v>1</v>
      </c>
      <c r="P53" s="86">
        <v>3</v>
      </c>
      <c r="Q53" s="86">
        <v>1</v>
      </c>
      <c r="R53" s="74"/>
      <c r="S53" s="74">
        <v>5</v>
      </c>
      <c r="T53" s="74"/>
      <c r="U53" s="74">
        <v>2</v>
      </c>
      <c r="V53" s="83">
        <f t="shared" si="0"/>
        <v>12</v>
      </c>
      <c r="W53" s="42">
        <f t="shared" si="3"/>
        <v>6</v>
      </c>
      <c r="X53" s="42">
        <f>V53 + (V53 * (SUBSTITUTE(SUBSTITUTE($X$2, "Pessimistic (", ""), "%)", "") / 100))</f>
        <v>13.2</v>
      </c>
      <c r="Y53" s="84">
        <f t="shared" si="6"/>
        <v>11.200000000000001</v>
      </c>
      <c r="Z53" s="174">
        <f t="shared" si="2"/>
        <v>5.6000000000000005</v>
      </c>
      <c r="AA53" s="186"/>
      <c r="AB53" s="186"/>
      <c r="AC53" s="186"/>
      <c r="AD53" s="187"/>
      <c r="AE53" s="206">
        <f>IF($Z53="",0,IF($M53="",0,$M53))</f>
        <v>0</v>
      </c>
      <c r="AF53" s="206">
        <f>IF(OR($Z53="",$N53=""),0,$Z53*5%)</f>
        <v>0</v>
      </c>
      <c r="AG53" s="206">
        <f>IF(OR($Z53="",$O53=""),0,$Z53*10%)</f>
        <v>0.56000000000000005</v>
      </c>
      <c r="AH53" s="206">
        <f>IF($Z53="",0,IF(AND($P53="",$Q53=""),($Z53-$AE53-$AF53-$AG53-$AJ53-$AK53-$AL53-$AM53),IF($P53="",0,IF($Q53="",($Z53-$AE53-$AF53-$AG53-$AJ53-$AK53-$AL53-$AM53),($Z53-$AE53-$AF53-$AG53-$AJ53-$AK53-$AL53-$AM53)-$AI53))))</f>
        <v>1.907692307692308</v>
      </c>
      <c r="AI53" s="206">
        <f>IF($Z53="",0,IF(AND($P53="",$Q53=""),0,IF($Q53="",0,IF($P53="",($Z53-$AE53-$AF53-$AG53-$AJ53-$AK53-$AL53-$AM53),($Z53-$AE53-$AF53-$AG53-$AJ53-$AK53-$AL53-$AM53)*15%/(50%+15%)))))</f>
        <v>0.57230769230769241</v>
      </c>
      <c r="AJ53" s="206">
        <f>IF($Z53="",0,IF($R53="",0,$R53))</f>
        <v>0</v>
      </c>
      <c r="AK53" s="206">
        <f>IF(OR($Z53="",$S53=""),0,$Z53*10%)</f>
        <v>0.56000000000000005</v>
      </c>
      <c r="AL53" s="206">
        <f>IF(OR($Z53="",$T53=""),0,$Z53*10%)</f>
        <v>0</v>
      </c>
      <c r="AM53" s="206">
        <f>IF($Z53="",0,IF($U53="",0,$U53))</f>
        <v>2</v>
      </c>
    </row>
    <row r="54" spans="1:39" ht="18" hidden="1" customHeight="1">
      <c r="A54" s="89">
        <f>IF(D54="","",A53+1)</f>
        <v>51</v>
      </c>
      <c r="B54" s="74" t="s">
        <v>228</v>
      </c>
      <c r="C54" s="74" t="s">
        <v>228</v>
      </c>
      <c r="D54" s="102" t="s">
        <v>251</v>
      </c>
      <c r="E54" s="250"/>
      <c r="F54" s="91" t="s">
        <v>249</v>
      </c>
      <c r="G54" s="94"/>
      <c r="H54" s="74"/>
      <c r="I54" s="74"/>
      <c r="J54" s="74"/>
      <c r="K54" s="74"/>
      <c r="L54" s="74"/>
      <c r="M54" s="74"/>
      <c r="N54" s="74"/>
      <c r="O54" s="86">
        <v>1</v>
      </c>
      <c r="P54" s="86">
        <v>5</v>
      </c>
      <c r="Q54" s="86">
        <v>1</v>
      </c>
      <c r="R54" s="74"/>
      <c r="S54" s="74">
        <v>5</v>
      </c>
      <c r="T54" s="74"/>
      <c r="U54" s="74">
        <v>2</v>
      </c>
      <c r="V54" s="83">
        <f t="shared" si="0"/>
        <v>14</v>
      </c>
      <c r="W54" s="42">
        <f t="shared" si="3"/>
        <v>7</v>
      </c>
      <c r="X54" s="42">
        <f>V54 + (V54 * (SUBSTITUTE(SUBSTITUTE($X$2, "Pessimistic (", ""), "%)", "") / 100))</f>
        <v>15.4</v>
      </c>
      <c r="Y54" s="84">
        <f t="shared" si="6"/>
        <v>13.066666666666668</v>
      </c>
      <c r="Z54" s="174">
        <f t="shared" si="2"/>
        <v>6.5333333333333341</v>
      </c>
      <c r="AA54" s="186"/>
      <c r="AB54" s="186"/>
      <c r="AC54" s="186"/>
      <c r="AD54" s="187"/>
      <c r="AE54" s="206">
        <f>IF($Z54="",0,IF($M54="",0,$M54))</f>
        <v>0</v>
      </c>
      <c r="AF54" s="206">
        <f>IF(OR($Z54="",$N54=""),0,$Z54*5%)</f>
        <v>0</v>
      </c>
      <c r="AG54" s="206">
        <f>IF(OR($Z54="",$O54=""),0,$Z54*10%)</f>
        <v>0.65333333333333343</v>
      </c>
      <c r="AH54" s="206">
        <f>IF($Z54="",0,IF(AND($P54="",$Q54=""),($Z54-$AE54-$AF54-$AG54-$AJ54-$AK54-$AL54-$AM54),IF($P54="",0,IF($Q54="",($Z54-$AE54-$AF54-$AG54-$AJ54-$AK54-$AL54-$AM54),($Z54-$AE54-$AF54-$AG54-$AJ54-$AK54-$AL54-$AM54)-$AI54))))</f>
        <v>2.4820512820512826</v>
      </c>
      <c r="AI54" s="206">
        <f>IF($Z54="",0,IF(AND($P54="",$Q54=""),0,IF($Q54="",0,IF($P54="",($Z54-$AE54-$AF54-$AG54-$AJ54-$AK54-$AL54-$AM54),($Z54-$AE54-$AF54-$AG54-$AJ54-$AK54-$AL54-$AM54)*15%/(50%+15%)))))</f>
        <v>0.74461538461538479</v>
      </c>
      <c r="AJ54" s="206">
        <f>IF($Z54="",0,IF($R54="",0,$R54))</f>
        <v>0</v>
      </c>
      <c r="AK54" s="206">
        <f>IF(OR($Z54="",$S54=""),0,$Z54*10%)</f>
        <v>0.65333333333333343</v>
      </c>
      <c r="AL54" s="206">
        <f>IF(OR($Z54="",$T54=""),0,$Z54*10%)</f>
        <v>0</v>
      </c>
      <c r="AM54" s="206">
        <f>IF($Z54="",0,IF($U54="",0,$U54))</f>
        <v>2</v>
      </c>
    </row>
    <row r="55" spans="1:39" ht="18" customHeight="1">
      <c r="A55" s="89">
        <f t="shared" si="4"/>
        <v>52</v>
      </c>
      <c r="B55" s="74" t="s">
        <v>228</v>
      </c>
      <c r="C55" s="74" t="s">
        <v>228</v>
      </c>
      <c r="D55" s="109" t="s">
        <v>252</v>
      </c>
      <c r="E55" s="252"/>
      <c r="F55" s="92" t="s">
        <v>174</v>
      </c>
      <c r="G55" s="94"/>
      <c r="H55" s="74"/>
      <c r="I55" s="74"/>
      <c r="J55" s="74"/>
      <c r="K55" s="74"/>
      <c r="L55" s="74"/>
      <c r="M55" s="74"/>
      <c r="N55" s="74"/>
      <c r="O55" s="86">
        <v>0</v>
      </c>
      <c r="P55" s="86">
        <v>10</v>
      </c>
      <c r="Q55" s="86">
        <v>2</v>
      </c>
      <c r="R55" s="74"/>
      <c r="S55" s="74"/>
      <c r="T55" s="74"/>
      <c r="U55" s="74"/>
      <c r="V55" s="83">
        <f t="shared" ref="V55" si="7">SUM(M55:U55)</f>
        <v>12</v>
      </c>
      <c r="W55" s="42">
        <f t="shared" si="3"/>
        <v>6</v>
      </c>
      <c r="X55" s="42">
        <f>V55 + (V55 * (SUBSTITUTE(SUBSTITUTE($X$2, "Pessimistic (", ""), "%)", "") / 100))</f>
        <v>13.2</v>
      </c>
      <c r="Y55" s="84">
        <f t="shared" ref="Y55" si="8">(W55+(4*V55)+X55)/6</f>
        <v>11.200000000000001</v>
      </c>
      <c r="Z55" s="174">
        <f t="shared" si="2"/>
        <v>5.6000000000000005</v>
      </c>
      <c r="AA55" s="186"/>
      <c r="AB55" s="186"/>
      <c r="AC55" s="186"/>
      <c r="AD55" s="187"/>
      <c r="AE55" s="206">
        <f>IF($Z55="",0,IF($M55="",0,$M55))</f>
        <v>0</v>
      </c>
      <c r="AF55" s="206">
        <f>IF(OR($Z55="",$N55=""),0,$Z55*5%)</f>
        <v>0</v>
      </c>
      <c r="AG55" s="206">
        <f>IF(OR($Z55="",$O55=""),0,$Z55*10%)</f>
        <v>0.56000000000000005</v>
      </c>
      <c r="AH55" s="206">
        <f>IF($Z55="",0,IF(AND($P55="",$Q55=""),($Z55-$AE55-$AF55-$AG55-$AJ55-$AK55-$AL55-$AM55),IF($P55="",0,IF($Q55="",($Z55-$AE55-$AF55-$AG55-$AJ55-$AK55-$AL55-$AM55),($Z55-$AE55-$AF55-$AG55-$AJ55-$AK55-$AL55-$AM55)-$AI55))))</f>
        <v>3.8769230769230778</v>
      </c>
      <c r="AI55" s="206">
        <f>IF($Z55="",0,IF(AND($P55="",$Q55=""),0,IF($Q55="",0,IF($P55="",($Z55-$AE55-$AF55-$AG55-$AJ55-$AK55-$AL55-$AM55),($Z55-$AE55-$AF55-$AG55-$AJ55-$AK55-$AL55-$AM55)*15%/(50%+15%)))))</f>
        <v>1.1630769230769231</v>
      </c>
      <c r="AJ55" s="206">
        <f>IF($Z55="",0,IF($R55="",0,$R55))</f>
        <v>0</v>
      </c>
      <c r="AK55" s="206">
        <f>IF(OR($Z55="",$S55=""),0,$Z55*10%)</f>
        <v>0</v>
      </c>
      <c r="AL55" s="206">
        <f>IF(OR($Z55="",$T55=""),0,$Z55*10%)</f>
        <v>0</v>
      </c>
      <c r="AM55" s="206">
        <f>IF($Z55="",0,IF($U55="",0,$U55))</f>
        <v>0</v>
      </c>
    </row>
    <row r="56" spans="1:39" s="49" customFormat="1" ht="18" hidden="1" customHeight="1">
      <c r="V56" s="132">
        <f>SUM(V3:V55)*Settings!I2</f>
        <v>0</v>
      </c>
      <c r="W56" s="42">
        <f>SUM(W3:W55)*Settings!I2</f>
        <v>0</v>
      </c>
      <c r="X56" s="42">
        <f>SUM(X3:X55)*Settings!I2</f>
        <v>0</v>
      </c>
      <c r="Y56" s="84">
        <f>SUM(Y3:Y55)*Settings!I2</f>
        <v>0</v>
      </c>
      <c r="Z56" s="84">
        <f>SUM(Z3:Z55)*Settings!I2</f>
        <v>0</v>
      </c>
      <c r="AA56" s="169"/>
      <c r="AB56" s="169"/>
      <c r="AC56" s="169"/>
      <c r="AD56" s="169"/>
    </row>
    <row r="57" spans="1:39" s="49" customFormat="1" ht="18" customHeight="1"/>
    <row r="58" spans="1:39" s="49" customFormat="1" ht="18" customHeight="1"/>
    <row r="59" spans="1:39" s="49" customFormat="1" ht="18" customHeight="1"/>
    <row r="60" spans="1:39" s="49" customFormat="1" ht="18" customHeight="1"/>
  </sheetData>
  <autoFilter ref="A2:AO56" xr:uid="{CC1A7938-95CA-46C0-AAF0-AD4376269192}">
    <filterColumn colId="5">
      <filters>
        <filter val="PGL"/>
      </filters>
    </filterColumn>
  </autoFilter>
  <mergeCells count="12">
    <mergeCell ref="W1:AM1"/>
    <mergeCell ref="B29:B34"/>
    <mergeCell ref="M1:V1"/>
    <mergeCell ref="A1:D1"/>
    <mergeCell ref="B6:B21"/>
    <mergeCell ref="C6:C17"/>
    <mergeCell ref="C19:C21"/>
    <mergeCell ref="C23:C25"/>
    <mergeCell ref="B22:B28"/>
    <mergeCell ref="C26:C28"/>
    <mergeCell ref="B3:B5"/>
    <mergeCell ref="C3:C5"/>
  </mergeCells>
  <hyperlinks>
    <hyperlink ref="E26" r:id="rId1" xr:uid="{E9FC2951-CE4D-4771-BAB7-C29992A98511}"/>
    <hyperlink ref="E27" r:id="rId2" xr:uid="{53045724-85C6-4EEE-8A1D-3167A1DACFE9}"/>
    <hyperlink ref="E28" r:id="rId3" xr:uid="{960A84FC-A24D-41F4-91DC-2DC24EFF3F52}"/>
    <hyperlink ref="E31" r:id="rId4" xr:uid="{6161BE35-D662-40A7-BC5F-730FB2219B58}"/>
    <hyperlink ref="E33" r:id="rId5" xr:uid="{E3362FAA-70D3-417C-8990-520E4035517F}"/>
    <hyperlink ref="E34" r:id="rId6" xr:uid="{1C2339A5-5C62-4113-8EDE-A2F8D27E123D}"/>
    <hyperlink ref="E36" r:id="rId7" xr:uid="{7A45907F-8B4C-4945-90FF-A10AF9027290}"/>
    <hyperlink ref="E37" r:id="rId8" xr:uid="{374680BC-5D9D-44CD-B7A7-568D1F8AC84C}"/>
    <hyperlink ref="E22" r:id="rId9" xr:uid="{F214368F-11A4-48E3-B303-A21EA6437B0C}"/>
  </hyperlinks>
  <pageMargins left="0.7" right="0.7" top="0.75" bottom="0.75" header="0.3" footer="0.3"/>
  <pageSetup paperSize="9" orientation="portrait"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E4848-2FFF-404F-B0E8-73AA66DD7436}">
  <dimension ref="A1:AN18"/>
  <sheetViews>
    <sheetView tabSelected="1" workbookViewId="0">
      <pane xSplit="5" ySplit="12" topLeftCell="F13" activePane="bottomRight" state="frozen"/>
      <selection pane="bottomRight" activeCell="Z18" sqref="Z18"/>
      <selection pane="bottomLeft"/>
      <selection pane="topRight"/>
    </sheetView>
  </sheetViews>
  <sheetFormatPr defaultRowHeight="18" customHeight="1"/>
  <cols>
    <col min="1" max="1" width="4.42578125" bestFit="1" customWidth="1"/>
    <col min="2" max="2" width="14.42578125" bestFit="1" customWidth="1"/>
    <col min="3" max="3" width="23.85546875" bestFit="1" customWidth="1"/>
    <col min="4" max="4" width="46.5703125" customWidth="1"/>
    <col min="5" max="5" width="14.42578125" customWidth="1"/>
    <col min="6" max="6" width="14.28515625" customWidth="1"/>
    <col min="7" max="8" width="10" customWidth="1"/>
    <col min="9" max="9" width="9.140625" customWidth="1"/>
    <col min="10" max="12" width="7.7109375" customWidth="1"/>
    <col min="13" max="13" width="11.5703125" customWidth="1"/>
    <col min="14" max="21" width="8.85546875" customWidth="1"/>
    <col min="22" max="22" width="9.28515625" customWidth="1"/>
    <col min="23" max="23" width="16" bestFit="1" customWidth="1"/>
    <col min="24" max="24" width="16.5703125" bestFit="1" customWidth="1"/>
    <col min="25" max="25" width="11.7109375" bestFit="1" customWidth="1"/>
    <col min="26" max="26" width="11.7109375" style="208" customWidth="1"/>
    <col min="27" max="30" width="11.7109375" style="195" customWidth="1"/>
    <col min="31" max="31" width="15" bestFit="1" customWidth="1"/>
    <col min="32" max="32" width="11.28515625" bestFit="1" customWidth="1"/>
    <col min="33" max="33" width="12.5703125" bestFit="1" customWidth="1"/>
    <col min="34" max="34" width="10.140625" bestFit="1" customWidth="1"/>
    <col min="35" max="35" width="10.42578125" bestFit="1" customWidth="1"/>
    <col min="36" max="36" width="12.5703125" bestFit="1" customWidth="1"/>
    <col min="37" max="37" width="9" bestFit="1" customWidth="1"/>
    <col min="38" max="38" width="13.28515625" bestFit="1" customWidth="1"/>
    <col min="39" max="39" width="12.42578125" bestFit="1" customWidth="1"/>
  </cols>
  <sheetData>
    <row r="1" spans="1:39" ht="18" customHeight="1">
      <c r="A1" s="276" t="s">
        <v>253</v>
      </c>
      <c r="B1" s="276"/>
      <c r="C1" s="276"/>
      <c r="D1" s="276"/>
      <c r="E1" s="234"/>
      <c r="F1" s="7"/>
      <c r="G1" s="7"/>
      <c r="H1" s="43" t="s">
        <v>20</v>
      </c>
      <c r="I1" s="43" t="s">
        <v>21</v>
      </c>
      <c r="J1" s="43" t="s">
        <v>22</v>
      </c>
      <c r="K1" s="43" t="s">
        <v>23</v>
      </c>
      <c r="L1" s="44"/>
      <c r="M1" s="282" t="s">
        <v>24</v>
      </c>
      <c r="N1" s="282"/>
      <c r="O1" s="282"/>
      <c r="P1" s="282"/>
      <c r="Q1" s="282"/>
      <c r="R1" s="282"/>
      <c r="S1" s="282"/>
      <c r="T1" s="282"/>
      <c r="U1" s="282"/>
      <c r="V1" s="282"/>
      <c r="W1" s="294" t="s">
        <v>25</v>
      </c>
      <c r="X1" s="295"/>
      <c r="Y1" s="295"/>
      <c r="Z1" s="295"/>
      <c r="AA1" s="295"/>
      <c r="AB1" s="295"/>
      <c r="AC1" s="295"/>
      <c r="AD1" s="295"/>
      <c r="AE1" s="295"/>
      <c r="AF1" s="295"/>
      <c r="AG1" s="295"/>
      <c r="AH1" s="295"/>
      <c r="AI1" s="295"/>
      <c r="AJ1" s="295"/>
      <c r="AK1" s="295"/>
      <c r="AL1" s="295"/>
      <c r="AM1" s="295"/>
    </row>
    <row r="2" spans="1:39" ht="18" customHeight="1">
      <c r="A2" s="3" t="s">
        <v>27</v>
      </c>
      <c r="B2" s="3" t="s">
        <v>28</v>
      </c>
      <c r="C2" s="33" t="s">
        <v>29</v>
      </c>
      <c r="D2" s="28" t="s">
        <v>30</v>
      </c>
      <c r="E2" s="28" t="s">
        <v>31</v>
      </c>
      <c r="F2" s="3" t="s">
        <v>32</v>
      </c>
      <c r="G2" s="3" t="s">
        <v>33</v>
      </c>
      <c r="H2" s="45" t="s">
        <v>34</v>
      </c>
      <c r="I2" s="45" t="s">
        <v>34</v>
      </c>
      <c r="J2" s="45" t="s">
        <v>34</v>
      </c>
      <c r="K2" s="45" t="s">
        <v>34</v>
      </c>
      <c r="L2" s="45" t="s">
        <v>35</v>
      </c>
      <c r="M2" s="51" t="s">
        <v>36</v>
      </c>
      <c r="N2" s="51" t="s">
        <v>37</v>
      </c>
      <c r="O2" s="51" t="s">
        <v>38</v>
      </c>
      <c r="P2" s="51" t="s">
        <v>39</v>
      </c>
      <c r="Q2" s="51" t="s">
        <v>40</v>
      </c>
      <c r="R2" s="51" t="s">
        <v>41</v>
      </c>
      <c r="S2" s="51" t="s">
        <v>42</v>
      </c>
      <c r="T2" s="51" t="s">
        <v>43</v>
      </c>
      <c r="U2" s="51" t="s">
        <v>44</v>
      </c>
      <c r="V2" s="52" t="s">
        <v>45</v>
      </c>
      <c r="W2" s="41" t="str">
        <f>"Optimistic ("&amp;Summary!E7&amp;")"</f>
        <v>Optimistic (50%)</v>
      </c>
      <c r="X2" s="41" t="s">
        <v>46</v>
      </c>
      <c r="Y2" s="41" t="s">
        <v>47</v>
      </c>
      <c r="Z2" s="170" t="s">
        <v>48</v>
      </c>
      <c r="AA2" s="171" t="s">
        <v>49</v>
      </c>
      <c r="AB2" s="171" t="s">
        <v>50</v>
      </c>
      <c r="AC2" s="171" t="s">
        <v>51</v>
      </c>
      <c r="AD2" s="171" t="s">
        <v>52</v>
      </c>
      <c r="AE2" s="209" t="s">
        <v>36</v>
      </c>
      <c r="AF2" s="81" t="s">
        <v>53</v>
      </c>
      <c r="AG2" s="81" t="s">
        <v>54</v>
      </c>
      <c r="AH2" s="81" t="s">
        <v>55</v>
      </c>
      <c r="AI2" s="81" t="s">
        <v>56</v>
      </c>
      <c r="AJ2" s="209" t="s">
        <v>41</v>
      </c>
      <c r="AK2" s="81" t="s">
        <v>57</v>
      </c>
      <c r="AL2" s="81" t="s">
        <v>58</v>
      </c>
      <c r="AM2" s="209" t="s">
        <v>44</v>
      </c>
    </row>
    <row r="3" spans="1:39" ht="18" customHeight="1">
      <c r="A3" s="1">
        <v>1</v>
      </c>
      <c r="B3" s="8" t="s">
        <v>59</v>
      </c>
      <c r="C3" s="8"/>
      <c r="D3" s="1"/>
      <c r="E3" s="1"/>
      <c r="F3" s="1"/>
      <c r="G3" s="1"/>
      <c r="H3" s="1"/>
      <c r="I3" s="1"/>
      <c r="J3" s="1"/>
      <c r="K3" s="1"/>
      <c r="L3" s="1"/>
      <c r="M3" s="1"/>
      <c r="N3" s="1"/>
      <c r="O3" s="1"/>
      <c r="P3" s="1"/>
      <c r="Q3" s="1"/>
      <c r="R3" s="1"/>
      <c r="S3" s="1"/>
      <c r="T3" s="1"/>
      <c r="U3" s="1"/>
      <c r="V3" s="61">
        <f>SUM(M3:U3)</f>
        <v>0</v>
      </c>
      <c r="W3" s="42">
        <f>V3 - (V3 * (SUBSTITUTE(SUBSTITUTE($W$2, "Optimistic (", ""), "%)", "") / 100))</f>
        <v>0</v>
      </c>
      <c r="X3" s="42">
        <f>V3 + (V3 * (SUBSTITUTE(SUBSTITUTE($X$2, "Pessimistic (", ""), "%)", "") / 100))</f>
        <v>0</v>
      </c>
      <c r="Y3" s="84">
        <f>(W3+(4*V3)+X3)/6</f>
        <v>0</v>
      </c>
      <c r="Z3" s="212"/>
      <c r="AA3" s="219"/>
      <c r="AB3" s="219"/>
      <c r="AC3" s="219"/>
      <c r="AD3" s="219"/>
      <c r="AE3" s="206">
        <f>IF($Z3="",0,IF($M3="",0,$M3))</f>
        <v>0</v>
      </c>
      <c r="AF3" s="206">
        <f>IF(OR($Z3="",$N3=""),0,$Z3*5%)</f>
        <v>0</v>
      </c>
      <c r="AG3" s="206">
        <f>IF(OR($Z3="",$O3=""),0,$Z3*10%)</f>
        <v>0</v>
      </c>
      <c r="AH3" s="206">
        <f>IF($Z3="",0,IF(AND($P3="",$Q3=""),($Z3-$AE3-$AF3-$AG3-$AJ3-$AK3-$AL3-$AM3),IF($P3="",0,IF($Q3="",($Z3-$AE3-$AF3-$AG3-$AJ3-$AK3-$AL3-$AM3),($Z3-$AE3-$AF3-$AG3-$AJ3-$AK3-$AL3-$AM3)-$AI3))))</f>
        <v>0</v>
      </c>
      <c r="AI3" s="206">
        <f>IF($Z3="",0,IF(AND($P3="",$Q3=""),0,IF($Q3="",0,IF($P3="",($Z3-$AE3-$AF3-$AG3-$AJ3-$AK3-$AL3-$AM3),($Z3-$AE3-$AF3-$AG3-$AJ3-$AK3-$AL3-$AM3)*15%/(50%+15%)))))</f>
        <v>0</v>
      </c>
      <c r="AJ3" s="206">
        <f>IF($Z3="",0,IF($R3="",0,$R3))</f>
        <v>0</v>
      </c>
      <c r="AK3" s="206">
        <f>IF(OR($Z3="",$S3=""),0,$Z3*10%)</f>
        <v>0</v>
      </c>
      <c r="AL3" s="206">
        <f>IF(OR($Z3="",$T3=""),0,$Z3*10%)</f>
        <v>0</v>
      </c>
      <c r="AM3" s="206">
        <f>IF($Z3="",0,IF($U3="",0,$U3))</f>
        <v>0</v>
      </c>
    </row>
    <row r="4" spans="1:39" ht="18" customHeight="1">
      <c r="A4" s="1">
        <v>2</v>
      </c>
      <c r="B4" s="266" t="s">
        <v>83</v>
      </c>
      <c r="C4" s="8" t="s">
        <v>254</v>
      </c>
      <c r="D4" s="1" t="s">
        <v>255</v>
      </c>
      <c r="E4" s="256" t="s">
        <v>256</v>
      </c>
      <c r="F4" s="1" t="s">
        <v>63</v>
      </c>
      <c r="G4" s="1"/>
      <c r="H4" s="1"/>
      <c r="I4" s="1"/>
      <c r="J4" s="1"/>
      <c r="K4" s="1"/>
      <c r="L4" s="1"/>
      <c r="M4" s="1"/>
      <c r="N4" s="1">
        <v>0</v>
      </c>
      <c r="O4" s="168">
        <v>4</v>
      </c>
      <c r="P4" s="1">
        <f>43-15</f>
        <v>28</v>
      </c>
      <c r="Q4" s="1">
        <v>5</v>
      </c>
      <c r="R4" s="1">
        <v>5</v>
      </c>
      <c r="S4" s="1">
        <v>3</v>
      </c>
      <c r="T4" s="1">
        <v>5</v>
      </c>
      <c r="U4" s="1">
        <v>4</v>
      </c>
      <c r="V4" s="61">
        <f>SUM(M4:U4)</f>
        <v>54</v>
      </c>
      <c r="W4" s="42">
        <f>V4 - (V4 * ( 50% ))</f>
        <v>27</v>
      </c>
      <c r="X4" s="42">
        <f>V4 + (V4 * (SUBSTITUTE(SUBSTITUTE($X$2, "Pessimistic (", ""), "%)", "") / 100))</f>
        <v>59.4</v>
      </c>
      <c r="Y4" s="84">
        <f t="shared" ref="Y4:Y17" si="0">(W4+(4*V4)+X4)/6</f>
        <v>50.4</v>
      </c>
      <c r="Z4" s="207">
        <f>Y4/2</f>
        <v>25.2</v>
      </c>
      <c r="AA4" s="171">
        <v>46076</v>
      </c>
      <c r="AB4" s="171">
        <v>46129</v>
      </c>
      <c r="AC4" s="171">
        <v>46132</v>
      </c>
      <c r="AD4" s="171">
        <v>46143</v>
      </c>
      <c r="AE4" s="206">
        <f>IF($Z4="",0,IF($M4="",0,$M4))</f>
        <v>0</v>
      </c>
      <c r="AF4" s="206">
        <f>IF(OR($Z4="",$N4=""),0,$Z4*5%)</f>
        <v>1.26</v>
      </c>
      <c r="AG4" s="206">
        <f>IF(OR($Z4="",$O4=""),0,$Z4*10%)</f>
        <v>2.52</v>
      </c>
      <c r="AH4" s="220">
        <f>IF($Z4="",0,IF(AND($P4="",$Q4=""),($Z4-$AE4-$AF4-$AG4-$AJ4-$AK4-$AL4-$AM4),IF($P4="",0,IF($Q4="",($Z4-$AE4-$AF4-$AG4-$AJ4-$AK4-$AL4-$AM4),($Z4-$AE4-$AF4-$AG4-$AJ4-$AK4-$AL4-$AM4)-$AI4))))</f>
        <v>5.6769230769230763</v>
      </c>
      <c r="AI4" s="220">
        <f>IF($Z4="",0,IF(AND($P4="",$Q4=""),0,IF($Q4="",0,IF($P4="",($Z4-$AE4-$AF4-$AG4-$AJ4-$AK4-$AL4-$AM4),($Z4-$AE4-$AF4-$AG4-$AJ4-$AK4-$AL4-$AM4)*15%/(50%+15%)))))</f>
        <v>1.7030769230769227</v>
      </c>
      <c r="AJ4" s="206">
        <f>IF($Z4="",0,IF($R4="",0,$R4))</f>
        <v>5</v>
      </c>
      <c r="AK4" s="206">
        <f>IF(OR($Z4="",$S4=""),0,$Z4*10%)</f>
        <v>2.52</v>
      </c>
      <c r="AL4" s="220">
        <f>IF(OR($Z4="",$T4=""),0,$Z4*10%)</f>
        <v>2.52</v>
      </c>
      <c r="AM4" s="206">
        <f>IF($Z4="",0,IF($U4="",0,$U4))</f>
        <v>4</v>
      </c>
    </row>
    <row r="5" spans="1:39" ht="18" customHeight="1">
      <c r="A5" s="1">
        <v>3</v>
      </c>
      <c r="B5" s="266"/>
      <c r="C5" s="271" t="s">
        <v>257</v>
      </c>
      <c r="D5" s="1" t="s">
        <v>258</v>
      </c>
      <c r="E5" s="256" t="s">
        <v>259</v>
      </c>
      <c r="F5" s="1" t="s">
        <v>260</v>
      </c>
      <c r="G5" s="1"/>
      <c r="H5" s="1"/>
      <c r="I5" s="1"/>
      <c r="J5" s="1"/>
      <c r="K5" s="1"/>
      <c r="L5" s="1"/>
      <c r="M5" s="1"/>
      <c r="N5" s="1">
        <v>0</v>
      </c>
      <c r="O5" s="1">
        <v>0</v>
      </c>
      <c r="P5" s="1">
        <v>10</v>
      </c>
      <c r="Q5" s="1">
        <v>5</v>
      </c>
      <c r="R5" s="1">
        <v>5</v>
      </c>
      <c r="S5" s="1">
        <v>3</v>
      </c>
      <c r="T5" s="1">
        <v>5</v>
      </c>
      <c r="U5" s="1">
        <v>2</v>
      </c>
      <c r="V5" s="61">
        <f>SUM(M5:U5)</f>
        <v>30</v>
      </c>
      <c r="W5" s="42">
        <f t="shared" ref="W5:W18" si="1">V5 - (V5 * ( 50% ))</f>
        <v>15</v>
      </c>
      <c r="X5" s="42">
        <f>V5 + (V5 * (SUBSTITUTE(SUBSTITUTE($X$2, "Pessimistic (", ""), "%)", "") / 100))</f>
        <v>33</v>
      </c>
      <c r="Y5" s="84">
        <f t="shared" si="0"/>
        <v>28</v>
      </c>
      <c r="Z5" s="207">
        <f t="shared" ref="Z5:Z17" si="2">Y5/2</f>
        <v>14</v>
      </c>
      <c r="AA5" s="171">
        <v>46132</v>
      </c>
      <c r="AB5" s="171">
        <v>46135</v>
      </c>
      <c r="AC5" s="171">
        <v>46136</v>
      </c>
      <c r="AD5" s="171">
        <v>46150</v>
      </c>
      <c r="AE5" s="206">
        <f>IF($Z5="",0,IF($M5="",0,$M5))</f>
        <v>0</v>
      </c>
      <c r="AF5" s="206">
        <f>IF(OR($Z5="",$N5=""),0,$Z5*5%)</f>
        <v>0.70000000000000007</v>
      </c>
      <c r="AG5" s="206">
        <f>IF(OR($Z5="",$O5=""),0,$Z5*10%)</f>
        <v>1.4000000000000001</v>
      </c>
      <c r="AH5" s="206">
        <f>IF($Z5="",0,IF(AND($P5="",$Q5=""),($Z5-$AE5-$AF5-$AG5-$AJ5-$AK5-$AL5-$AM5),IF($P5="",0,IF($Q5="",($Z5-$AE5-$AF5-$AG5-$AJ5-$AK5-$AL5-$AM5),($Z5-$AE5-$AF5-$AG5-$AJ5-$AK5-$AL5-$AM5)-$AI5))))</f>
        <v>1.6153846153846152</v>
      </c>
      <c r="AI5" s="206">
        <f>IF($Z5="",0,IF(AND($P5="",$Q5=""),0,IF($Q5="",0,IF($P5="",($Z5-$AE5-$AF5-$AG5-$AJ5-$AK5-$AL5-$AM5),($Z5-$AE5-$AF5-$AG5-$AJ5-$AK5-$AL5-$AM5)*15%/(50%+15%)))))</f>
        <v>0.4846153846153845</v>
      </c>
      <c r="AJ5" s="206">
        <f>IF($Z5="",0,IF($R5="",0,$R5))</f>
        <v>5</v>
      </c>
      <c r="AK5" s="206">
        <f>IF(OR($Z5="",$S5=""),0,$Z5*10%)</f>
        <v>1.4000000000000001</v>
      </c>
      <c r="AL5" s="206">
        <f>IF(OR($Z5="",$T5=""),0,$Z5*10%)</f>
        <v>1.4000000000000001</v>
      </c>
      <c r="AM5" s="206">
        <f>IF($Z5="",0,IF($U5="",0,$U5))</f>
        <v>2</v>
      </c>
    </row>
    <row r="6" spans="1:39" ht="18" customHeight="1">
      <c r="A6" s="1">
        <v>4</v>
      </c>
      <c r="B6" s="266"/>
      <c r="C6" s="272"/>
      <c r="D6" s="64" t="s">
        <v>261</v>
      </c>
      <c r="E6" s="257" t="s">
        <v>262</v>
      </c>
      <c r="F6" s="1" t="s">
        <v>260</v>
      </c>
      <c r="G6" s="1"/>
      <c r="H6" s="1"/>
      <c r="I6" s="1"/>
      <c r="J6" s="1"/>
      <c r="K6" s="1"/>
      <c r="L6" s="1"/>
      <c r="M6" s="1"/>
      <c r="N6" s="1">
        <v>0</v>
      </c>
      <c r="O6" s="1">
        <v>0</v>
      </c>
      <c r="P6" s="1">
        <v>10</v>
      </c>
      <c r="Q6" s="1">
        <v>5</v>
      </c>
      <c r="R6" s="1">
        <v>5</v>
      </c>
      <c r="S6" s="1">
        <v>5</v>
      </c>
      <c r="T6" s="1">
        <v>5</v>
      </c>
      <c r="U6" s="1">
        <v>2</v>
      </c>
      <c r="V6" s="61">
        <f>SUM(M6:U6)</f>
        <v>32</v>
      </c>
      <c r="W6" s="42">
        <f t="shared" si="1"/>
        <v>16</v>
      </c>
      <c r="X6" s="42">
        <f>V6 + (V6 * (SUBSTITUTE(SUBSTITUTE($X$2, "Pessimistic (", ""), "%)", "") / 100))</f>
        <v>35.200000000000003</v>
      </c>
      <c r="Y6" s="84">
        <f t="shared" si="0"/>
        <v>29.866666666666664</v>
      </c>
      <c r="Z6" s="207">
        <f t="shared" si="2"/>
        <v>14.933333333333332</v>
      </c>
      <c r="AA6" s="171">
        <v>46133</v>
      </c>
      <c r="AB6" s="171">
        <v>46143</v>
      </c>
      <c r="AC6" s="171">
        <v>46146</v>
      </c>
      <c r="AD6" s="171">
        <v>46154</v>
      </c>
      <c r="AE6" s="206">
        <f>IF($Z6="",0,IF($M6="",0,$M6))</f>
        <v>0</v>
      </c>
      <c r="AF6" s="206">
        <f>IF(OR($Z6="",$N6=""),0,$Z6*5%)</f>
        <v>0.74666666666666659</v>
      </c>
      <c r="AG6" s="206">
        <f>IF(OR($Z6="",$O6=""),0,$Z6*10%)</f>
        <v>1.4933333333333332</v>
      </c>
      <c r="AH6" s="206">
        <f>IF($Z6="",0,IF(AND($P6="",$Q6=""),($Z6-$AE6-$AF6-$AG6-$AJ6-$AK6-$AL6-$AM6),IF($P6="",0,IF($Q6="",($Z6-$AE6-$AF6-$AG6-$AJ6-$AK6-$AL6-$AM6),($Z6-$AE6-$AF6-$AG6-$AJ6-$AK6-$AL6-$AM6)-$AI6))))</f>
        <v>2.0820512820512809</v>
      </c>
      <c r="AI6" s="206">
        <f>IF($Z6="",0,IF(AND($P6="",$Q6=""),0,IF($Q6="",0,IF($P6="",($Z6-$AE6-$AF6-$AG6-$AJ6-$AK6-$AL6-$AM6),($Z6-$AE6-$AF6-$AG6-$AJ6-$AK6-$AL6-$AM6)*15%/(50%+15%)))))</f>
        <v>0.62461538461538424</v>
      </c>
      <c r="AJ6" s="206">
        <f>IF($Z6="",0,IF($R6="",0,$R6))</f>
        <v>5</v>
      </c>
      <c r="AK6" s="206">
        <f>IF(OR($Z6="",$S6=""),0,$Z6*10%)</f>
        <v>1.4933333333333332</v>
      </c>
      <c r="AL6" s="206">
        <f>IF(OR($Z6="",$T6=""),0,$Z6*10%)</f>
        <v>1.4933333333333332</v>
      </c>
      <c r="AM6" s="206">
        <f>IF($Z6="",0,IF($U6="",0,$U6))</f>
        <v>2</v>
      </c>
    </row>
    <row r="7" spans="1:39" ht="18" customHeight="1">
      <c r="A7" s="1">
        <v>5</v>
      </c>
      <c r="B7" s="266"/>
      <c r="C7" s="272"/>
      <c r="D7" s="50" t="s">
        <v>263</v>
      </c>
      <c r="E7" s="258" t="s">
        <v>264</v>
      </c>
      <c r="F7" s="1" t="s">
        <v>260</v>
      </c>
      <c r="G7" s="1"/>
      <c r="H7" s="1"/>
      <c r="I7" s="1"/>
      <c r="J7" s="1"/>
      <c r="K7" s="1"/>
      <c r="L7" s="1"/>
      <c r="M7" s="1"/>
      <c r="N7" s="1">
        <v>0</v>
      </c>
      <c r="O7" s="1">
        <v>0</v>
      </c>
      <c r="P7" s="1">
        <v>5</v>
      </c>
      <c r="Q7" s="1">
        <v>5</v>
      </c>
      <c r="R7" s="1">
        <v>5</v>
      </c>
      <c r="S7" s="1">
        <v>5</v>
      </c>
      <c r="T7" s="1">
        <v>5</v>
      </c>
      <c r="U7" s="1">
        <v>2</v>
      </c>
      <c r="V7" s="61">
        <f>SUM(M7:U7)</f>
        <v>27</v>
      </c>
      <c r="W7" s="42">
        <f t="shared" si="1"/>
        <v>13.5</v>
      </c>
      <c r="X7" s="42">
        <f>V7 + (V7 * (SUBSTITUTE(SUBSTITUTE($X$2, "Pessimistic (", ""), "%)", "") / 100))</f>
        <v>29.7</v>
      </c>
      <c r="Y7" s="84">
        <f t="shared" si="0"/>
        <v>25.2</v>
      </c>
      <c r="Z7" s="207">
        <f t="shared" si="2"/>
        <v>12.6</v>
      </c>
      <c r="AA7" s="171">
        <v>46141</v>
      </c>
      <c r="AB7" s="171">
        <v>46148</v>
      </c>
      <c r="AC7" s="171">
        <v>46149</v>
      </c>
      <c r="AD7" s="171">
        <v>46164</v>
      </c>
      <c r="AE7" s="206">
        <f>IF($Z7="",0,IF($M7="",0,$M7))</f>
        <v>0</v>
      </c>
      <c r="AF7" s="206">
        <f>IF(OR($Z7="",$N7=""),0,$Z7*5%)</f>
        <v>0.63</v>
      </c>
      <c r="AG7" s="206">
        <f>IF(OR($Z7="",$O7=""),0,$Z7*10%)</f>
        <v>1.26</v>
      </c>
      <c r="AH7" s="206">
        <f>IF($Z7="",0,IF(AND($P7="",$Q7=""),($Z7-$AE7-$AF7-$AG7-$AJ7-$AK7-$AL7-$AM7),IF($P7="",0,IF($Q7="",($Z7-$AE7-$AF7-$AG7-$AJ7-$AK7-$AL7-$AM7),($Z7-$AE7-$AF7-$AG7-$AJ7-$AK7-$AL7-$AM7)-$AI7))))</f>
        <v>0.91538461538461502</v>
      </c>
      <c r="AI7" s="206">
        <f>IF($Z7="",0,IF(AND($P7="",$Q7=""),0,IF($Q7="",0,IF($P7="",($Z7-$AE7-$AF7-$AG7-$AJ7-$AK7-$AL7-$AM7),($Z7-$AE7-$AF7-$AG7-$AJ7-$AK7-$AL7-$AM7)*15%/(50%+15%)))))</f>
        <v>0.27461538461538448</v>
      </c>
      <c r="AJ7" s="206">
        <f>IF($Z7="",0,IF($R7="",0,$R7))</f>
        <v>5</v>
      </c>
      <c r="AK7" s="206">
        <f>IF(OR($Z7="",$S7=""),0,$Z7*10%)</f>
        <v>1.26</v>
      </c>
      <c r="AL7" s="206">
        <f>IF(OR($Z7="",$T7=""),0,$Z7*10%)</f>
        <v>1.26</v>
      </c>
      <c r="AM7" s="206">
        <f>IF($Z7="",0,IF($U7="",0,$U7))</f>
        <v>2</v>
      </c>
    </row>
    <row r="8" spans="1:39" ht="18" customHeight="1">
      <c r="A8" s="1">
        <v>6</v>
      </c>
      <c r="B8" s="266"/>
      <c r="C8" s="272"/>
      <c r="D8" s="50" t="s">
        <v>265</v>
      </c>
      <c r="E8" s="258" t="s">
        <v>266</v>
      </c>
      <c r="F8" s="1" t="s">
        <v>260</v>
      </c>
      <c r="G8" s="1"/>
      <c r="H8" s="1"/>
      <c r="I8" s="1"/>
      <c r="J8" s="1"/>
      <c r="K8" s="1"/>
      <c r="L8" s="1"/>
      <c r="M8" s="1"/>
      <c r="N8" s="1">
        <v>0</v>
      </c>
      <c r="O8" s="1">
        <v>0</v>
      </c>
      <c r="P8" s="1">
        <v>10</v>
      </c>
      <c r="Q8" s="1">
        <v>5</v>
      </c>
      <c r="R8" s="1">
        <v>5</v>
      </c>
      <c r="S8" s="1">
        <v>5</v>
      </c>
      <c r="T8" s="1">
        <v>5</v>
      </c>
      <c r="U8" s="1">
        <v>2</v>
      </c>
      <c r="V8" s="61">
        <f>SUM(M8:U8)</f>
        <v>32</v>
      </c>
      <c r="W8" s="42">
        <f t="shared" si="1"/>
        <v>16</v>
      </c>
      <c r="X8" s="42">
        <f>V8 + (V8 * (SUBSTITUTE(SUBSTITUTE($X$2, "Pessimistic (", ""), "%)", "") / 100))</f>
        <v>35.200000000000003</v>
      </c>
      <c r="Y8" s="84">
        <f t="shared" si="0"/>
        <v>29.866666666666664</v>
      </c>
      <c r="Z8" s="207">
        <f t="shared" si="2"/>
        <v>14.933333333333332</v>
      </c>
      <c r="AA8" s="171">
        <v>46146</v>
      </c>
      <c r="AB8" s="171">
        <v>46146</v>
      </c>
      <c r="AC8" s="171">
        <v>46147</v>
      </c>
      <c r="AD8" s="171">
        <v>46164</v>
      </c>
      <c r="AE8" s="206">
        <f>IF($Z8="",0,IF($M8="",0,$M8))</f>
        <v>0</v>
      </c>
      <c r="AF8" s="206">
        <f>IF(OR($Z8="",$N8=""),0,$Z8*5%)</f>
        <v>0.74666666666666659</v>
      </c>
      <c r="AG8" s="206">
        <f>IF(OR($Z8="",$O8=""),0,$Z8*10%)</f>
        <v>1.4933333333333332</v>
      </c>
      <c r="AH8" s="206">
        <f>IF($Z8="",0,IF(AND($P8="",$Q8=""),($Z8-$AE8-$AF8-$AG8-$AJ8-$AK8-$AL8-$AM8),IF($P8="",0,IF($Q8="",($Z8-$AE8-$AF8-$AG8-$AJ8-$AK8-$AL8-$AM8),($Z8-$AE8-$AF8-$AG8-$AJ8-$AK8-$AL8-$AM8)-$AI8))))</f>
        <v>2.0820512820512809</v>
      </c>
      <c r="AI8" s="206">
        <f>IF($Z8="",0,IF(AND($P8="",$Q8=""),0,IF($Q8="",0,IF($P8="",($Z8-$AE8-$AF8-$AG8-$AJ8-$AK8-$AL8-$AM8),($Z8-$AE8-$AF8-$AG8-$AJ8-$AK8-$AL8-$AM8)*15%/(50%+15%)))))</f>
        <v>0.62461538461538424</v>
      </c>
      <c r="AJ8" s="206">
        <f>IF($Z8="",0,IF($R8="",0,$R8))</f>
        <v>5</v>
      </c>
      <c r="AK8" s="206">
        <f>IF(OR($Z8="",$S8=""),0,$Z8*10%)</f>
        <v>1.4933333333333332</v>
      </c>
      <c r="AL8" s="206">
        <f>IF(OR($Z8="",$T8=""),0,$Z8*10%)</f>
        <v>1.4933333333333332</v>
      </c>
      <c r="AM8" s="206">
        <f>IF($Z8="",0,IF($U8="",0,$U8))</f>
        <v>2</v>
      </c>
    </row>
    <row r="9" spans="1:39" ht="18" customHeight="1">
      <c r="A9" s="1"/>
      <c r="B9" s="266"/>
      <c r="C9" s="273"/>
      <c r="D9" s="50" t="s">
        <v>267</v>
      </c>
      <c r="E9" s="264" t="s">
        <v>268</v>
      </c>
      <c r="F9" s="1"/>
      <c r="G9" s="1"/>
      <c r="H9" s="1"/>
      <c r="I9" s="1"/>
      <c r="J9" s="1"/>
      <c r="K9" s="1"/>
      <c r="L9" s="1"/>
      <c r="M9" s="1"/>
      <c r="N9" s="1"/>
      <c r="O9" s="1"/>
      <c r="P9" s="1"/>
      <c r="Q9" s="1"/>
      <c r="R9" s="1"/>
      <c r="S9" s="1"/>
      <c r="T9" s="1"/>
      <c r="U9" s="1"/>
      <c r="V9" s="61">
        <f>SUM(M9:U9)</f>
        <v>0</v>
      </c>
      <c r="W9" s="42">
        <f>V9 - (V9 * ( 50% ))</f>
        <v>0</v>
      </c>
      <c r="X9" s="42">
        <f>V9 + (V9 * (SUBSTITUTE(SUBSTITUTE($X$2, "Pessimistic (", ""), "%)", "") / 100))</f>
        <v>0</v>
      </c>
      <c r="Y9" s="84">
        <v>15</v>
      </c>
      <c r="Z9" s="207">
        <v>7</v>
      </c>
      <c r="AA9" s="171">
        <v>46128</v>
      </c>
      <c r="AB9" s="171">
        <v>46129</v>
      </c>
      <c r="AC9" s="171">
        <v>46132</v>
      </c>
      <c r="AD9" s="229">
        <v>46134</v>
      </c>
      <c r="AE9" s="206">
        <f>IF($Z9="",0,IF($M9="",0,$M9))</f>
        <v>0</v>
      </c>
      <c r="AF9" s="206">
        <f>IF(OR($Z9="",$N9=""),0,$Z9*5%)</f>
        <v>0</v>
      </c>
      <c r="AG9" s="206">
        <f>IF(OR($Z9="",$O9=""),0,$Z9*10%)</f>
        <v>0</v>
      </c>
      <c r="AH9" s="206">
        <f>IF($Z9="",0,IF(AND($P9="",$Q9=""),($Z9-$AE9-$AF9-$AG9-$AJ9-$AK9-$AL9-$AM9),IF($P9="",0,IF($Q9="",($Z9-$AE9-$AF9-$AG9-$AJ9-$AK9-$AL9-$AM9),($Z9-$AE9-$AF9-$AG9-$AJ9-$AK9-$AL9-$AM9)-$AI9))))</f>
        <v>7</v>
      </c>
      <c r="AI9" s="206">
        <f>IF($Z9="",0,IF(AND($P9="",$Q9=""),0,IF($Q9="",0,IF($P9="",($Z9-$AE9-$AF9-$AG9-$AJ9-$AK9-$AL9-$AM9),($Z9-$AE9-$AF9-$AG9-$AJ9-$AK9-$AL9-$AM9)*15%/(50%+15%)))))</f>
        <v>0</v>
      </c>
      <c r="AJ9" s="206">
        <f>IF($Z9="",0,IF($R9="",0,$R9))</f>
        <v>0</v>
      </c>
      <c r="AK9" s="206">
        <f>IF(OR($Z9="",$S9=""),0,$Z9*10%)</f>
        <v>0</v>
      </c>
      <c r="AL9" s="206">
        <f>IF(OR($Z9="",$T9=""),0,$Z9*10%)</f>
        <v>0</v>
      </c>
      <c r="AM9" s="206">
        <f>IF($Z9="",0,IF($U9="",0,$U9))</f>
        <v>0</v>
      </c>
    </row>
    <row r="10" spans="1:39" ht="18" customHeight="1">
      <c r="A10" s="1">
        <v>7</v>
      </c>
      <c r="B10" s="266"/>
      <c r="C10" s="266" t="s">
        <v>269</v>
      </c>
      <c r="D10" s="27" t="s">
        <v>270</v>
      </c>
      <c r="E10" s="258" t="s">
        <v>271</v>
      </c>
      <c r="F10" s="1" t="s">
        <v>260</v>
      </c>
      <c r="G10" s="1"/>
      <c r="H10" s="1"/>
      <c r="I10" s="1"/>
      <c r="J10" s="1"/>
      <c r="K10" s="1"/>
      <c r="L10" s="1"/>
      <c r="M10" s="1"/>
      <c r="N10" s="1"/>
      <c r="O10" s="1"/>
      <c r="P10" s="1">
        <v>13</v>
      </c>
      <c r="Q10" s="1">
        <v>5</v>
      </c>
      <c r="R10" s="1">
        <v>3</v>
      </c>
      <c r="S10" s="1">
        <v>3</v>
      </c>
      <c r="T10" s="1">
        <v>3</v>
      </c>
      <c r="U10" s="1">
        <v>2</v>
      </c>
      <c r="V10" s="61">
        <f>SUM(M10:U10)</f>
        <v>29</v>
      </c>
      <c r="W10" s="42">
        <f>V10 - (V10 * ( 50% ))</f>
        <v>14.5</v>
      </c>
      <c r="X10" s="42">
        <f>V10 + (V10 * (SUBSTITUTE(SUBSTITUTE($X$2, "Pessimistic (", ""), "%)", "") / 100))</f>
        <v>31.9</v>
      </c>
      <c r="Y10" s="84">
        <f t="shared" si="0"/>
        <v>27.066666666666666</v>
      </c>
      <c r="Z10" s="207">
        <f t="shared" si="2"/>
        <v>13.533333333333333</v>
      </c>
      <c r="AA10" s="171">
        <v>46143</v>
      </c>
      <c r="AB10" s="171">
        <v>46156</v>
      </c>
      <c r="AC10" s="171">
        <v>46157</v>
      </c>
      <c r="AD10" s="171">
        <v>46164</v>
      </c>
      <c r="AE10" s="206">
        <f>IF($Z10="",0,IF($M10="",0,$M10))</f>
        <v>0</v>
      </c>
      <c r="AF10" s="206">
        <f>IF(OR($Z10="",$N10=""),0,$Z10*5%)</f>
        <v>0</v>
      </c>
      <c r="AG10" s="206">
        <f>IF(OR($Z10="",$O10=""),0,$Z10*10%)</f>
        <v>0</v>
      </c>
      <c r="AH10" s="206">
        <f>IF($Z10="",0,IF(AND($P10="",$Q10=""),($Z10-$AE10-$AF10-$AG10-$AJ10-$AK10-$AL10-$AM10),IF($P10="",0,IF($Q10="",($Z10-$AE10-$AF10-$AG10-$AJ10-$AK10-$AL10-$AM10),($Z10-$AE10-$AF10-$AG10-$AJ10-$AK10-$AL10-$AM10)-$AI10))))</f>
        <v>4.4820512820512821</v>
      </c>
      <c r="AI10" s="206">
        <f>IF($Z10="",0,IF(AND($P10="",$Q10=""),0,IF($Q10="",0,IF($P10="",($Z10-$AE10-$AF10-$AG10-$AJ10-$AK10-$AL10-$AM10),($Z10-$AE10-$AF10-$AG10-$AJ10-$AK10-$AL10-$AM10)*15%/(50%+15%)))))</f>
        <v>1.3446153846153843</v>
      </c>
      <c r="AJ10" s="206">
        <f>IF($Z10="",0,IF($R10="",0,$R10))</f>
        <v>3</v>
      </c>
      <c r="AK10" s="206">
        <f>IF(OR($Z10="",$S10=""),0,$Z10*10%)</f>
        <v>1.3533333333333335</v>
      </c>
      <c r="AL10" s="206">
        <f>IF(OR($Z10="",$T10=""),0,$Z10*10%)</f>
        <v>1.3533333333333335</v>
      </c>
      <c r="AM10" s="206">
        <f>IF($Z10="",0,IF($U10="",0,$U10))</f>
        <v>2</v>
      </c>
    </row>
    <row r="11" spans="1:39" ht="18" customHeight="1">
      <c r="A11" s="1">
        <v>8</v>
      </c>
      <c r="B11" s="266"/>
      <c r="C11" s="266"/>
      <c r="D11" s="27" t="s">
        <v>272</v>
      </c>
      <c r="E11" s="258" t="s">
        <v>273</v>
      </c>
      <c r="F11" s="1" t="s">
        <v>260</v>
      </c>
      <c r="G11" s="1"/>
      <c r="H11" s="1"/>
      <c r="I11" s="1"/>
      <c r="J11" s="1"/>
      <c r="K11" s="1"/>
      <c r="L11" s="1"/>
      <c r="M11" s="1"/>
      <c r="N11" s="1"/>
      <c r="O11" s="1"/>
      <c r="P11" s="1">
        <v>51</v>
      </c>
      <c r="Q11" s="1">
        <v>10</v>
      </c>
      <c r="R11" s="1">
        <v>5</v>
      </c>
      <c r="S11" s="1">
        <v>5</v>
      </c>
      <c r="T11" s="1">
        <v>2</v>
      </c>
      <c r="U11" s="1">
        <v>3</v>
      </c>
      <c r="V11" s="61">
        <f>SUM(M11:U11)</f>
        <v>76</v>
      </c>
      <c r="W11" s="42">
        <f>V11 - (V11 * ( 50% ))</f>
        <v>38</v>
      </c>
      <c r="X11" s="42">
        <f>V11 + (V11 * (SUBSTITUTE(SUBSTITUTE($X$2, "Pessimistic (", ""), "%)", "") / 100))</f>
        <v>83.6</v>
      </c>
      <c r="Y11" s="84">
        <f t="shared" si="0"/>
        <v>70.933333333333337</v>
      </c>
      <c r="Z11" s="207">
        <f t="shared" si="2"/>
        <v>35.466666666666669</v>
      </c>
      <c r="AA11" s="171">
        <v>46161</v>
      </c>
      <c r="AB11" s="171">
        <v>46202</v>
      </c>
      <c r="AC11" s="171">
        <v>46203</v>
      </c>
      <c r="AD11" s="171">
        <v>46210</v>
      </c>
      <c r="AE11" s="206">
        <f>IF($Z11="",0,IF($M11="",0,$M11))</f>
        <v>0</v>
      </c>
      <c r="AF11" s="206">
        <f>IF(OR($Z11="",$N11=""),0,$Z11*5%)</f>
        <v>0</v>
      </c>
      <c r="AG11" s="206">
        <f>IF(OR($Z11="",$O11=""),0,$Z11*10%)</f>
        <v>0</v>
      </c>
      <c r="AH11" s="206">
        <f>IF($Z11="",0,IF(AND($P11="",$Q11=""),($Z11-$AE11-$AF11-$AG11-$AJ11-$AK11-$AL11-$AM11),IF($P11="",0,IF($Q11="",($Z11-$AE11-$AF11-$AG11-$AJ11-$AK11-$AL11-$AM11),($Z11-$AE11-$AF11-$AG11-$AJ11-$AK11-$AL11-$AM11)-$AI11))))</f>
        <v>15.671794871794873</v>
      </c>
      <c r="AI11" s="206">
        <f>IF($Z11="",0,IF(AND($P11="",$Q11=""),0,IF($Q11="",0,IF($P11="",($Z11-$AE11-$AF11-$AG11-$AJ11-$AK11-$AL11-$AM11),($Z11-$AE11-$AF11-$AG11-$AJ11-$AK11-$AL11-$AM11)*15%/(50%+15%)))))</f>
        <v>4.7015384615384619</v>
      </c>
      <c r="AJ11" s="206">
        <f>IF($Z11="",0,IF($R11="",0,$R11))</f>
        <v>5</v>
      </c>
      <c r="AK11" s="206">
        <f>IF(OR($Z11="",$S11=""),0,$Z11*10%)</f>
        <v>3.5466666666666669</v>
      </c>
      <c r="AL11" s="206">
        <f>IF(OR($Z11="",$T11=""),0,$Z11*10%)</f>
        <v>3.5466666666666669</v>
      </c>
      <c r="AM11" s="206">
        <f>IF($Z11="",0,IF($U11="",0,$U11))</f>
        <v>3</v>
      </c>
    </row>
    <row r="12" spans="1:39" ht="18" customHeight="1">
      <c r="A12" s="1">
        <v>9</v>
      </c>
      <c r="B12" s="266"/>
      <c r="C12" s="24" t="s">
        <v>274</v>
      </c>
      <c r="D12" s="50" t="s">
        <v>275</v>
      </c>
      <c r="E12" s="258" t="s">
        <v>276</v>
      </c>
      <c r="F12" s="1" t="s">
        <v>260</v>
      </c>
      <c r="G12" s="1"/>
      <c r="H12" s="1"/>
      <c r="I12" s="1"/>
      <c r="J12" s="1"/>
      <c r="K12" s="1"/>
      <c r="L12" s="1"/>
      <c r="M12" s="1">
        <v>0</v>
      </c>
      <c r="N12" s="1">
        <v>0</v>
      </c>
      <c r="O12" s="1">
        <v>3</v>
      </c>
      <c r="P12" s="1">
        <v>50</v>
      </c>
      <c r="Q12" s="1">
        <v>10</v>
      </c>
      <c r="R12" s="1">
        <v>5</v>
      </c>
      <c r="S12" s="1">
        <v>5</v>
      </c>
      <c r="T12" s="1">
        <v>10</v>
      </c>
      <c r="U12" s="1">
        <v>3</v>
      </c>
      <c r="V12" s="61">
        <f>SUM(M12:U12)</f>
        <v>86</v>
      </c>
      <c r="W12" s="42">
        <f>V12 - (V12 * ( 50% ))</f>
        <v>43</v>
      </c>
      <c r="X12" s="42">
        <f>V12 + (V12 * (SUBSTITUTE(SUBSTITUTE($X$2, "Pessimistic (", ""), "%)", "") / 100))</f>
        <v>94.6</v>
      </c>
      <c r="Y12" s="84">
        <f t="shared" si="0"/>
        <v>80.266666666666666</v>
      </c>
      <c r="Z12" s="207">
        <f t="shared" si="2"/>
        <v>40.133333333333333</v>
      </c>
      <c r="AA12" s="171">
        <v>46204</v>
      </c>
      <c r="AB12" s="171">
        <v>46247</v>
      </c>
      <c r="AC12" s="171">
        <v>46251</v>
      </c>
      <c r="AD12" s="171">
        <v>46260</v>
      </c>
      <c r="AE12" s="206">
        <f>IF($Z12="",0,IF($M12="",0,$M12))</f>
        <v>0</v>
      </c>
      <c r="AF12" s="206">
        <f>IF(OR($Z12="",$N12=""),0,$Z12*5%)</f>
        <v>2.0066666666666668</v>
      </c>
      <c r="AG12" s="206">
        <f>IF(OR($Z12="",$O12=""),0,$Z12*10%)</f>
        <v>4.0133333333333336</v>
      </c>
      <c r="AH12" s="206">
        <f>IF($Z12="",0,IF(AND($P12="",$Q12=""),($Z12-$AE12-$AF12-$AG12-$AJ12-$AK12-$AL12-$AM12),IF($P12="",0,IF($Q12="",($Z12-$AE12-$AF12-$AG12-$AJ12-$AK12-$AL12-$AM12),($Z12-$AE12-$AF12-$AG12-$AJ12-$AK12-$AL12-$AM12)-$AI12))))</f>
        <v>13.912820512820506</v>
      </c>
      <c r="AI12" s="206">
        <f>IF($Z12="",0,IF(AND($P12="",$Q12=""),0,IF($Q12="",0,IF($P12="",($Z12-$AE12-$AF12-$AG12-$AJ12-$AK12-$AL12-$AM12),($Z12-$AE12-$AF12-$AG12-$AJ12-$AK12-$AL12-$AM12)*15%/(50%+15%)))))</f>
        <v>4.173846153846152</v>
      </c>
      <c r="AJ12" s="206">
        <f>IF($Z12="",0,IF($R12="",0,$R12))</f>
        <v>5</v>
      </c>
      <c r="AK12" s="206">
        <f>IF(OR($Z12="",$S12=""),0,$Z12*10%)</f>
        <v>4.0133333333333336</v>
      </c>
      <c r="AL12" s="206">
        <f>IF(OR($Z12="",$T12=""),0,$Z12*10%)</f>
        <v>4.0133333333333336</v>
      </c>
      <c r="AM12" s="206">
        <f>IF($Z12="",0,IF($U12="",0,$U12))</f>
        <v>3</v>
      </c>
    </row>
    <row r="13" spans="1:39" ht="18" customHeight="1">
      <c r="A13" s="1">
        <v>10</v>
      </c>
      <c r="B13" s="266"/>
      <c r="C13" s="24" t="s">
        <v>277</v>
      </c>
      <c r="D13" s="199" t="s">
        <v>278</v>
      </c>
      <c r="E13" s="199"/>
      <c r="F13" s="1" t="s">
        <v>260</v>
      </c>
      <c r="G13" s="1"/>
      <c r="H13" s="1"/>
      <c r="I13" s="1"/>
      <c r="J13" s="1"/>
      <c r="K13" s="1"/>
      <c r="L13" s="1"/>
      <c r="M13" s="1"/>
      <c r="N13" s="1"/>
      <c r="O13" s="1"/>
      <c r="P13" s="1"/>
      <c r="Q13" s="1"/>
      <c r="R13" s="1"/>
      <c r="S13" s="1"/>
      <c r="T13" s="1"/>
      <c r="U13" s="1"/>
      <c r="V13" s="61">
        <f>SUM(M13:U13)</f>
        <v>0</v>
      </c>
      <c r="W13" s="42">
        <f>V13 - (V13 * ( 50% ))</f>
        <v>0</v>
      </c>
      <c r="X13" s="42">
        <f>V13 + (V13 * (SUBSTITUTE(SUBSTITUTE($X$2, "Pessimistic (", ""), "%)", "") / 100))</f>
        <v>0</v>
      </c>
      <c r="Y13" s="84">
        <f t="shared" si="0"/>
        <v>0</v>
      </c>
      <c r="Z13" s="207">
        <f t="shared" si="2"/>
        <v>0</v>
      </c>
      <c r="AA13" s="171"/>
      <c r="AB13" s="171"/>
      <c r="AC13" s="171"/>
      <c r="AD13" s="171"/>
      <c r="AE13" s="206">
        <f>IF($Z13="",0,IF($M13="",0,$M13))</f>
        <v>0</v>
      </c>
      <c r="AF13" s="206">
        <f>IF(OR($Z13="",$N13=""),0,$Z13*5%)</f>
        <v>0</v>
      </c>
      <c r="AG13" s="206">
        <f>IF(OR($Z13="",$O13=""),0,$Z13*10%)</f>
        <v>0</v>
      </c>
      <c r="AH13" s="206">
        <f>IF($Z13="",0,IF(AND($P13="",$Q13=""),($Z13-$AE13-$AF13-$AG13-$AJ13-$AK13-$AL13-$AM13),IF($P13="",0,IF($Q13="",($Z13-$AE13-$AF13-$AG13-$AJ13-$AK13-$AL13-$AM13),($Z13-$AE13-$AF13-$AG13-$AJ13-$AK13-$AL13-$AM13)-$AI13))))</f>
        <v>0</v>
      </c>
      <c r="AI13" s="206">
        <f>IF($Z13="",0,IF(AND($P13="",$Q13=""),0,IF($Q13="",0,IF($P13="",($Z13-$AE13-$AF13-$AG13-$AJ13-$AK13-$AL13-$AM13),($Z13-$AE13-$AF13-$AG13-$AJ13-$AK13-$AL13-$AM13)*15%/(50%+15%)))))</f>
        <v>0</v>
      </c>
      <c r="AJ13" s="206">
        <f>IF($Z13="",0,IF($R13="",0,$R13))</f>
        <v>0</v>
      </c>
      <c r="AK13" s="206">
        <f>IF(OR($Z13="",$S13=""),0,$Z13*10%)</f>
        <v>0</v>
      </c>
      <c r="AL13" s="206">
        <f>IF(OR($Z13="",$T13=""),0,$Z13*10%)</f>
        <v>0</v>
      </c>
      <c r="AM13" s="206">
        <f>IF($Z13="",0,IF($U13="",0,$U13))</f>
        <v>0</v>
      </c>
    </row>
    <row r="14" spans="1:39" ht="18" customHeight="1">
      <c r="A14" s="1">
        <v>11</v>
      </c>
      <c r="B14" s="8" t="s">
        <v>144</v>
      </c>
      <c r="C14" s="38"/>
      <c r="D14" s="27"/>
      <c r="E14" s="27"/>
      <c r="F14" s="1"/>
      <c r="G14" s="1"/>
      <c r="H14" s="1"/>
      <c r="I14" s="1"/>
      <c r="J14" s="1"/>
      <c r="K14" s="1"/>
      <c r="L14" s="1"/>
      <c r="M14" s="1"/>
      <c r="N14" s="1"/>
      <c r="O14" s="1"/>
      <c r="P14" s="1"/>
      <c r="Q14" s="1"/>
      <c r="R14" s="1"/>
      <c r="S14" s="1"/>
      <c r="T14" s="1"/>
      <c r="U14" s="1"/>
      <c r="V14" s="61">
        <f>SUM(M14:U14)</f>
        <v>0</v>
      </c>
      <c r="W14" s="42">
        <f>V14 - (V14 * ( 50% ))</f>
        <v>0</v>
      </c>
      <c r="X14" s="42">
        <f>V14 + (V14 * (SUBSTITUTE(SUBSTITUTE($X$2, "Pessimistic (", ""), "%)", "") / 100))</f>
        <v>0</v>
      </c>
      <c r="Y14" s="84">
        <f t="shared" si="0"/>
        <v>0</v>
      </c>
      <c r="Z14" s="207">
        <f t="shared" si="2"/>
        <v>0</v>
      </c>
      <c r="AA14" s="171"/>
      <c r="AB14" s="171"/>
      <c r="AC14" s="171"/>
      <c r="AD14" s="171"/>
      <c r="AE14" s="206">
        <f>IF($Z14="",0,IF($M14="",0,$M14))</f>
        <v>0</v>
      </c>
      <c r="AF14" s="206">
        <f>IF(OR($Z14="",$N14=""),0,$Z14*5%)</f>
        <v>0</v>
      </c>
      <c r="AG14" s="206">
        <f>IF(OR($Z14="",$O14=""),0,$Z14*10%)</f>
        <v>0</v>
      </c>
      <c r="AH14" s="206">
        <f>IF($Z14="",0,IF(AND($P14="",$Q14=""),($Z14-$AE14-$AF14-$AG14-$AJ14-$AK14-$AL14-$AM14),IF($P14="",0,IF($Q14="",($Z14-$AE14-$AF14-$AG14-$AJ14-$AK14-$AL14-$AM14),($Z14-$AE14-$AF14-$AG14-$AJ14-$AK14-$AL14-$AM14)-$AI14))))</f>
        <v>0</v>
      </c>
      <c r="AI14" s="206">
        <f>IF($Z14="",0,IF(AND($P14="",$Q14=""),0,IF($Q14="",0,IF($P14="",($Z14-$AE14-$AF14-$AG14-$AJ14-$AK14-$AL14-$AM14),($Z14-$AE14-$AF14-$AG14-$AJ14-$AK14-$AL14-$AM14)*15%/(50%+15%)))))</f>
        <v>0</v>
      </c>
      <c r="AJ14" s="206">
        <f>IF($Z14="",0,IF($R14="",0,$R14))</f>
        <v>0</v>
      </c>
      <c r="AK14" s="206">
        <f>IF(OR($Z14="",$S14=""),0,$Z14*10%)</f>
        <v>0</v>
      </c>
      <c r="AL14" s="206">
        <f>IF(OR($Z14="",$T14=""),0,$Z14*10%)</f>
        <v>0</v>
      </c>
      <c r="AM14" s="206">
        <f>IF($Z14="",0,IF($U14="",0,$U14))</f>
        <v>0</v>
      </c>
    </row>
    <row r="15" spans="1:39" ht="18" customHeight="1">
      <c r="A15" s="1">
        <v>12</v>
      </c>
      <c r="B15" s="8" t="s">
        <v>162</v>
      </c>
      <c r="C15" s="8" t="s">
        <v>195</v>
      </c>
      <c r="D15" s="191" t="s">
        <v>279</v>
      </c>
      <c r="E15" s="259" t="s">
        <v>280</v>
      </c>
      <c r="F15" s="1" t="s">
        <v>63</v>
      </c>
      <c r="G15" s="1"/>
      <c r="H15" s="1"/>
      <c r="I15" s="1"/>
      <c r="J15" s="1"/>
      <c r="K15" s="1"/>
      <c r="L15" s="1"/>
      <c r="M15" s="1">
        <v>0</v>
      </c>
      <c r="N15" s="1">
        <v>0</v>
      </c>
      <c r="O15" s="1">
        <v>0</v>
      </c>
      <c r="P15" s="1">
        <v>2</v>
      </c>
      <c r="Q15" s="1">
        <v>3</v>
      </c>
      <c r="R15" s="1">
        <v>1</v>
      </c>
      <c r="S15" s="1">
        <v>2</v>
      </c>
      <c r="T15" s="1">
        <v>2</v>
      </c>
      <c r="U15" s="1">
        <v>1</v>
      </c>
      <c r="V15" s="61">
        <f>SUM(M15:U15)</f>
        <v>11</v>
      </c>
      <c r="W15" s="42">
        <f>V15 - (V15 * ( 50% ))</f>
        <v>5.5</v>
      </c>
      <c r="X15" s="42">
        <f>V15 + (V15 * (SUBSTITUTE(SUBSTITUTE($X$2, "Pessimistic (", ""), "%)", "") / 100))</f>
        <v>12.1</v>
      </c>
      <c r="Y15" s="84">
        <f t="shared" si="0"/>
        <v>10.266666666666667</v>
      </c>
      <c r="Z15" s="207">
        <f t="shared" si="2"/>
        <v>5.1333333333333337</v>
      </c>
      <c r="AA15" s="171"/>
      <c r="AB15" s="171"/>
      <c r="AC15" s="171"/>
      <c r="AD15" s="229">
        <v>46132</v>
      </c>
      <c r="AE15" s="206">
        <f>IF($Z15="",0,IF($M15="",0,$M15))</f>
        <v>0</v>
      </c>
      <c r="AF15" s="206">
        <f>IF(OR($Z15="",$N15=""),0,$Z15*5%)</f>
        <v>0.25666666666666671</v>
      </c>
      <c r="AG15" s="206">
        <f>IF(OR($Z15="",$O15=""),0,$Z15*10%)</f>
        <v>0.51333333333333342</v>
      </c>
      <c r="AH15" s="206">
        <f>IF($Z15="",0,IF(AND($P15="",$Q15=""),($Z15-$AE15-$AF15-$AG15-$AJ15-$AK15-$AL15-$AM15),IF($P15="",0,IF($Q15="",($Z15-$AE15-$AF15-$AG15-$AJ15-$AK15-$AL15-$AM15),($Z15-$AE15-$AF15-$AG15-$AJ15-$AK15-$AL15-$AM15)-$AI15))))</f>
        <v>1.0282051282051277</v>
      </c>
      <c r="AI15" s="206">
        <f>IF($Z15="",0,IF(AND($P15="",$Q15=""),0,IF($Q15="",0,IF($P15="",($Z15-$AE15-$AF15-$AG15-$AJ15-$AK15-$AL15-$AM15),($Z15-$AE15-$AF15-$AG15-$AJ15-$AK15-$AL15-$AM15)*15%/(50%+15%)))))</f>
        <v>0.30846153846153829</v>
      </c>
      <c r="AJ15" s="206">
        <f>IF($Z15="",0,IF($R15="",0,$R15))</f>
        <v>1</v>
      </c>
      <c r="AK15" s="206">
        <f>IF(OR($Z15="",$S15=""),0,$Z15*10%)</f>
        <v>0.51333333333333342</v>
      </c>
      <c r="AL15" s="206">
        <f>IF(OR($Z15="",$T15=""),0,$Z15*10%)</f>
        <v>0.51333333333333342</v>
      </c>
      <c r="AM15" s="206">
        <f>IF($Z15="",0,IF($U15="",0,$U15))</f>
        <v>1</v>
      </c>
    </row>
    <row r="16" spans="1:39" ht="18" customHeight="1">
      <c r="A16" s="1">
        <v>13</v>
      </c>
      <c r="B16" s="1" t="s">
        <v>281</v>
      </c>
      <c r="C16" s="1" t="s">
        <v>281</v>
      </c>
      <c r="D16" s="1" t="s">
        <v>282</v>
      </c>
      <c r="E16" s="1"/>
      <c r="F16" s="1" t="s">
        <v>63</v>
      </c>
      <c r="G16" s="1"/>
      <c r="H16" s="1"/>
      <c r="I16" s="1"/>
      <c r="J16" s="1"/>
      <c r="K16" s="1"/>
      <c r="L16" s="1"/>
      <c r="M16" s="1"/>
      <c r="N16" s="1"/>
      <c r="O16" s="1"/>
      <c r="P16" s="1"/>
      <c r="Q16" s="1"/>
      <c r="R16" s="1"/>
      <c r="S16" s="1"/>
      <c r="T16" s="1"/>
      <c r="U16" s="1"/>
      <c r="V16" s="61">
        <f>SUM(M16:U16)</f>
        <v>0</v>
      </c>
      <c r="W16" s="42">
        <f>V16 - (V16 * ( 50% ))</f>
        <v>0</v>
      </c>
      <c r="X16" s="42">
        <f>V16 + (V16 * (SUBSTITUTE(SUBSTITUTE($X$2, "Pessimistic (", ""), "%)", "") / 100))</f>
        <v>0</v>
      </c>
      <c r="Y16" s="84">
        <f t="shared" si="0"/>
        <v>0</v>
      </c>
      <c r="Z16" s="207">
        <f t="shared" si="2"/>
        <v>0</v>
      </c>
      <c r="AA16" s="171"/>
      <c r="AB16" s="171"/>
      <c r="AC16" s="171"/>
      <c r="AD16" s="171"/>
      <c r="AE16" s="206">
        <f>IF($Z16="",0,IF($M16="",0,$M16))</f>
        <v>0</v>
      </c>
      <c r="AF16" s="206">
        <f>IF(OR($Z16="",$N16=""),0,$Z16*5%)</f>
        <v>0</v>
      </c>
      <c r="AG16" s="206">
        <f>IF(OR($Z16="",$O16=""),0,$Z16*10%)</f>
        <v>0</v>
      </c>
      <c r="AH16" s="206">
        <f>IF($Z16="",0,IF(AND($P16="",$Q16=""),($Z16-$AE16-$AF16-$AG16-$AJ16-$AK16-$AL16-$AM16),IF($P16="",0,IF($Q16="",($Z16-$AE16-$AF16-$AG16-$AJ16-$AK16-$AL16-$AM16),($Z16-$AE16-$AF16-$AG16-$AJ16-$AK16-$AL16-$AM16)-$AI16))))</f>
        <v>0</v>
      </c>
      <c r="AI16" s="206">
        <f>IF($Z16="",0,IF(AND($P16="",$Q16=""),0,IF($Q16="",0,IF($P16="",($Z16-$AE16-$AF16-$AG16-$AJ16-$AK16-$AL16-$AM16),($Z16-$AE16-$AF16-$AG16-$AJ16-$AK16-$AL16-$AM16)*15%/(50%+15%)))))</f>
        <v>0</v>
      </c>
      <c r="AJ16" s="206">
        <f>IF($Z16="",0,IF($R16="",0,$R16))</f>
        <v>0</v>
      </c>
      <c r="AK16" s="206">
        <f>IF(OR($Z16="",$S16=""),0,$Z16*10%)</f>
        <v>0</v>
      </c>
      <c r="AL16" s="206">
        <f>IF(OR($Z16="",$T16=""),0,$Z16*10%)</f>
        <v>0</v>
      </c>
      <c r="AM16" s="206">
        <f>IF($Z16="",0,IF($U16="",0,$U16))</f>
        <v>0</v>
      </c>
    </row>
    <row r="17" spans="1:40" ht="18" customHeight="1">
      <c r="A17" s="1">
        <v>14</v>
      </c>
      <c r="B17" s="8" t="s">
        <v>226</v>
      </c>
      <c r="C17" s="1" t="s">
        <v>283</v>
      </c>
      <c r="D17" s="230" t="s">
        <v>284</v>
      </c>
      <c r="E17" s="256" t="s">
        <v>285</v>
      </c>
      <c r="F17" s="1" t="s">
        <v>260</v>
      </c>
      <c r="G17" s="1"/>
      <c r="H17" s="1"/>
      <c r="I17" s="1"/>
      <c r="J17" s="1"/>
      <c r="K17" s="1"/>
      <c r="L17" s="1"/>
      <c r="M17" s="1">
        <v>0</v>
      </c>
      <c r="N17" s="1">
        <v>0</v>
      </c>
      <c r="O17" s="1">
        <v>0</v>
      </c>
      <c r="P17" s="1">
        <v>30</v>
      </c>
      <c r="Q17" s="1">
        <v>4</v>
      </c>
      <c r="R17" s="1">
        <v>0</v>
      </c>
      <c r="S17" s="1">
        <v>0</v>
      </c>
      <c r="T17" s="1">
        <v>0</v>
      </c>
      <c r="U17" s="1">
        <v>2</v>
      </c>
      <c r="V17" s="61">
        <f>SUM(M17:U17)</f>
        <v>36</v>
      </c>
      <c r="W17" s="42">
        <f t="shared" si="1"/>
        <v>18</v>
      </c>
      <c r="X17" s="42">
        <f>V17 + (V17 * (SUBSTITUTE(SUBSTITUTE($X$2, "Pessimistic (", ""), "%)", "") / 100))</f>
        <v>39.6</v>
      </c>
      <c r="Y17" s="84">
        <f t="shared" si="0"/>
        <v>33.6</v>
      </c>
      <c r="Z17" s="207">
        <f t="shared" si="2"/>
        <v>16.8</v>
      </c>
      <c r="AA17" s="171">
        <v>46132</v>
      </c>
      <c r="AB17" s="171">
        <v>46142</v>
      </c>
      <c r="AC17" s="171">
        <v>46143</v>
      </c>
      <c r="AD17" s="171">
        <v>46150</v>
      </c>
      <c r="AE17" s="206">
        <f>IF($Z17="",0,IF($M17="",0,$M17))</f>
        <v>0</v>
      </c>
      <c r="AF17" s="206">
        <f>IF(OR($Z17="",$N17=""),0,$Z17*5%)</f>
        <v>0.84000000000000008</v>
      </c>
      <c r="AG17" s="206">
        <f>IF(OR($Z17="",$O17=""),0,$Z17*10%)</f>
        <v>1.6800000000000002</v>
      </c>
      <c r="AH17" s="206">
        <f>IF($Z17="",0,IF(AND($P17="",$Q17=""),($Z17-$AE17-$AF17-$AG17-$AJ17-$AK17-$AL17-$AM17),IF($P17="",0,IF($Q17="",($Z17-$AE17-$AF17-$AG17-$AJ17-$AK17-$AL17-$AM17),($Z17-$AE17-$AF17-$AG17-$AJ17-$AK17-$AL17-$AM17)-$AI17))))</f>
        <v>6.8615384615384629</v>
      </c>
      <c r="AI17" s="206">
        <f>IF($Z17="",0,IF(AND($P17="",$Q17=""),0,IF($Q17="",0,IF($P17="",($Z17-$AE17-$AF17-$AG17-$AJ17-$AK17-$AL17-$AM17),($Z17-$AE17-$AF17-$AG17-$AJ17-$AK17-$AL17-$AM17)*15%/(50%+15%)))))</f>
        <v>2.0584615384615388</v>
      </c>
      <c r="AJ17" s="206">
        <f>IF($Z17="",0,IF($R17="",0,$R17))</f>
        <v>0</v>
      </c>
      <c r="AK17" s="206">
        <f>IF(OR($Z17="",$S17=""),0,$Z17*10%)</f>
        <v>1.6800000000000002</v>
      </c>
      <c r="AL17" s="206">
        <f>IF(OR($Z17="",$T17=""),0,$Z17*10%)</f>
        <v>1.6800000000000002</v>
      </c>
      <c r="AM17" s="206">
        <f>IF($Z17="",0,IF($U17="",0,$U17))</f>
        <v>2</v>
      </c>
      <c r="AN17" t="s">
        <v>286</v>
      </c>
    </row>
    <row r="18" spans="1:40" ht="18" customHeight="1">
      <c r="V18" s="133">
        <f>SUM(V3:V17)*Settings!I2</f>
        <v>0</v>
      </c>
      <c r="W18" s="42">
        <f t="shared" si="1"/>
        <v>0</v>
      </c>
      <c r="X18" s="42">
        <f t="shared" ref="X6:X18" si="3">V18 + (V18 * (10%))</f>
        <v>0</v>
      </c>
      <c r="Y18" s="84">
        <f>SUM(Y3:Y17)*Settings!I2</f>
        <v>0</v>
      </c>
      <c r="Z18" s="214">
        <f>SUM(Z3:Z17)*Settings!I2</f>
        <v>0</v>
      </c>
      <c r="AA18" s="194"/>
      <c r="AB18" s="194"/>
      <c r="AC18" s="194"/>
      <c r="AD18" s="194"/>
    </row>
  </sheetData>
  <mergeCells count="6">
    <mergeCell ref="W1:AM1"/>
    <mergeCell ref="M1:V1"/>
    <mergeCell ref="C10:C11"/>
    <mergeCell ref="B4:B13"/>
    <mergeCell ref="A1:D1"/>
    <mergeCell ref="C5:C9"/>
  </mergeCells>
  <hyperlinks>
    <hyperlink ref="E4" r:id="rId1" xr:uid="{8511C29E-D455-4923-9AD7-8F7A0C6C195E}"/>
    <hyperlink ref="E5" r:id="rId2" xr:uid="{10E7581D-423F-4089-8D37-D479AEA1CDF7}"/>
    <hyperlink ref="E6" r:id="rId3" xr:uid="{D63140BD-F31B-4468-9B17-50740AB6D688}"/>
    <hyperlink ref="E7" r:id="rId4" xr:uid="{08B3763F-180A-4D48-8BAD-D28F801AF170}"/>
    <hyperlink ref="E8" r:id="rId5" xr:uid="{8CC1607E-6DC4-451E-B1CD-F84AB560C174}"/>
    <hyperlink ref="E10" r:id="rId6" xr:uid="{DF3315DD-7F4C-490C-ADB5-199E5BDCC1A4}"/>
    <hyperlink ref="E11" r:id="rId7" xr:uid="{AB5B19C8-BE6F-4651-9A4E-63834D98518C}"/>
    <hyperlink ref="E12" r:id="rId8" xr:uid="{0A3185F1-2EBA-47A7-A663-469636AD0907}"/>
    <hyperlink ref="E15" r:id="rId9" xr:uid="{E3E0CB32-4CA5-460F-9FF4-36CA05F036CC}"/>
    <hyperlink ref="E17" r:id="rId10" xr:uid="{32FBD44B-6E99-4825-A805-AAC94A4B5D08}"/>
    <hyperlink ref="E9" r:id="rId11" xr:uid="{59EAD8FD-AA37-419F-976D-C57297ACAF4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02239-3AB4-49AE-BD89-ABD265DC3A66}">
  <dimension ref="B2:C9"/>
  <sheetViews>
    <sheetView workbookViewId="0">
      <selection activeCell="C9" sqref="C9"/>
    </sheetView>
  </sheetViews>
  <sheetFormatPr defaultRowHeight="14.45"/>
  <sheetData>
    <row r="2" spans="2:3">
      <c r="C2" t="s">
        <v>287</v>
      </c>
    </row>
    <row r="3" spans="2:3">
      <c r="B3" t="s">
        <v>288</v>
      </c>
      <c r="C3" t="s">
        <v>289</v>
      </c>
    </row>
    <row r="4" spans="2:3">
      <c r="C4" t="s">
        <v>290</v>
      </c>
    </row>
    <row r="5" spans="2:3">
      <c r="C5" t="s">
        <v>291</v>
      </c>
    </row>
    <row r="9" spans="2:3">
      <c r="B9" t="s">
        <v>292</v>
      </c>
      <c r="C9" t="s">
        <v>293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29D85-F0F8-4151-A0BB-C4DB525D2626}">
  <dimension ref="A1:N25"/>
  <sheetViews>
    <sheetView workbookViewId="0">
      <selection activeCell="A5" sqref="A5"/>
    </sheetView>
  </sheetViews>
  <sheetFormatPr defaultRowHeight="14.45"/>
  <cols>
    <col min="1" max="1" width="33.42578125" customWidth="1"/>
    <col min="4" max="4" width="13.7109375" customWidth="1"/>
    <col min="5" max="5" width="12.85546875" customWidth="1"/>
    <col min="12" max="12" width="36.5703125" bestFit="1" customWidth="1"/>
    <col min="14" max="14" width="13.85546875" bestFit="1" customWidth="1"/>
  </cols>
  <sheetData>
    <row r="1" spans="1:14">
      <c r="A1" s="9" t="s">
        <v>294</v>
      </c>
      <c r="B1" s="10" t="s">
        <v>295</v>
      </c>
      <c r="C1" s="11">
        <v>30</v>
      </c>
      <c r="D1" s="12" t="s">
        <v>247</v>
      </c>
      <c r="E1" s="12" t="s">
        <v>247</v>
      </c>
      <c r="F1" s="13">
        <v>3</v>
      </c>
      <c r="G1" s="14"/>
      <c r="H1" t="s">
        <v>296</v>
      </c>
    </row>
    <row r="2" spans="1:14">
      <c r="A2" s="9" t="s">
        <v>294</v>
      </c>
      <c r="B2" s="10" t="s">
        <v>297</v>
      </c>
      <c r="C2" s="11">
        <v>5</v>
      </c>
      <c r="D2" s="12" t="s">
        <v>247</v>
      </c>
      <c r="E2" s="12"/>
      <c r="F2" s="13"/>
      <c r="G2" s="14"/>
      <c r="H2" t="s">
        <v>296</v>
      </c>
      <c r="L2" s="19" t="s">
        <v>294</v>
      </c>
      <c r="M2">
        <v>35</v>
      </c>
      <c r="N2" t="s">
        <v>296</v>
      </c>
    </row>
    <row r="3" spans="1:14" ht="28.9">
      <c r="A3" s="9" t="s">
        <v>298</v>
      </c>
      <c r="B3" s="10" t="s">
        <v>295</v>
      </c>
      <c r="C3" s="11">
        <v>15</v>
      </c>
      <c r="D3" s="12" t="s">
        <v>247</v>
      </c>
      <c r="E3" s="12" t="s">
        <v>247</v>
      </c>
      <c r="F3" s="13">
        <v>3</v>
      </c>
      <c r="G3" s="14"/>
      <c r="H3" t="s">
        <v>59</v>
      </c>
      <c r="L3" s="19" t="s">
        <v>298</v>
      </c>
      <c r="M3">
        <v>20</v>
      </c>
      <c r="N3" t="s">
        <v>59</v>
      </c>
    </row>
    <row r="4" spans="1:14" ht="28.9">
      <c r="A4" s="9" t="s">
        <v>298</v>
      </c>
      <c r="B4" s="10" t="s">
        <v>297</v>
      </c>
      <c r="C4" s="11">
        <v>5</v>
      </c>
      <c r="D4" s="12"/>
      <c r="E4" s="12"/>
      <c r="F4" s="13"/>
      <c r="G4" s="14"/>
      <c r="H4" t="s">
        <v>59</v>
      </c>
      <c r="L4" s="19" t="s">
        <v>299</v>
      </c>
      <c r="M4">
        <v>23</v>
      </c>
      <c r="N4" t="s">
        <v>59</v>
      </c>
    </row>
    <row r="5" spans="1:14" ht="57.6">
      <c r="A5" s="9" t="s">
        <v>299</v>
      </c>
      <c r="B5" s="10" t="s">
        <v>295</v>
      </c>
      <c r="C5" s="11">
        <v>18</v>
      </c>
      <c r="D5" s="12" t="s">
        <v>247</v>
      </c>
      <c r="E5" s="12" t="s">
        <v>247</v>
      </c>
      <c r="F5" s="13">
        <v>3</v>
      </c>
      <c r="G5" s="14"/>
      <c r="H5" t="s">
        <v>59</v>
      </c>
      <c r="L5" s="19" t="s">
        <v>300</v>
      </c>
      <c r="M5">
        <v>29</v>
      </c>
      <c r="N5" t="s">
        <v>59</v>
      </c>
    </row>
    <row r="6" spans="1:14">
      <c r="A6" s="9" t="s">
        <v>299</v>
      </c>
      <c r="B6" s="10" t="s">
        <v>297</v>
      </c>
      <c r="C6" s="11">
        <v>5</v>
      </c>
      <c r="D6" s="12"/>
      <c r="E6" s="12"/>
      <c r="F6" s="13"/>
      <c r="G6" s="14"/>
      <c r="H6" t="s">
        <v>59</v>
      </c>
      <c r="L6" s="19" t="s">
        <v>301</v>
      </c>
      <c r="M6">
        <v>50</v>
      </c>
      <c r="N6" t="s">
        <v>296</v>
      </c>
    </row>
    <row r="7" spans="1:14" ht="43.15">
      <c r="A7" s="9" t="s">
        <v>300</v>
      </c>
      <c r="B7" s="10" t="s">
        <v>295</v>
      </c>
      <c r="C7" s="11">
        <v>24</v>
      </c>
      <c r="D7" s="12" t="s">
        <v>247</v>
      </c>
      <c r="E7" s="12" t="s">
        <v>247</v>
      </c>
      <c r="F7" s="13">
        <v>3</v>
      </c>
      <c r="G7" s="14"/>
      <c r="H7" t="s">
        <v>59</v>
      </c>
      <c r="L7" s="20" t="s">
        <v>302</v>
      </c>
      <c r="N7" t="s">
        <v>162</v>
      </c>
    </row>
    <row r="8" spans="1:14" ht="28.9">
      <c r="A8" s="9" t="s">
        <v>300</v>
      </c>
      <c r="B8" s="10" t="s">
        <v>297</v>
      </c>
      <c r="C8" s="11">
        <v>5</v>
      </c>
      <c r="D8" s="12"/>
      <c r="E8" s="12"/>
      <c r="F8" s="13"/>
      <c r="G8" s="14"/>
      <c r="H8" t="s">
        <v>59</v>
      </c>
      <c r="L8" s="20" t="s">
        <v>303</v>
      </c>
      <c r="N8" t="s">
        <v>304</v>
      </c>
    </row>
    <row r="9" spans="1:14">
      <c r="A9" s="9" t="s">
        <v>301</v>
      </c>
      <c r="B9" s="10" t="s">
        <v>295</v>
      </c>
      <c r="C9" s="11">
        <v>45</v>
      </c>
      <c r="D9" s="12" t="s">
        <v>247</v>
      </c>
      <c r="E9" s="12" t="s">
        <v>247</v>
      </c>
      <c r="F9" s="13">
        <v>3</v>
      </c>
      <c r="G9" s="14"/>
      <c r="H9" t="s">
        <v>296</v>
      </c>
      <c r="L9" s="20" t="s">
        <v>305</v>
      </c>
      <c r="N9" t="s">
        <v>304</v>
      </c>
    </row>
    <row r="10" spans="1:14">
      <c r="A10" s="9" t="s">
        <v>301</v>
      </c>
      <c r="B10" s="10" t="s">
        <v>297</v>
      </c>
      <c r="C10" s="11">
        <v>5</v>
      </c>
      <c r="D10" s="12"/>
      <c r="E10" s="12"/>
      <c r="F10" s="13"/>
      <c r="G10" s="14"/>
      <c r="H10" t="s">
        <v>296</v>
      </c>
      <c r="L10" s="21" t="s">
        <v>306</v>
      </c>
      <c r="M10" s="22"/>
      <c r="N10" s="22" t="s">
        <v>59</v>
      </c>
    </row>
    <row r="11" spans="1:14" ht="28.9">
      <c r="A11" s="9" t="s">
        <v>302</v>
      </c>
      <c r="B11" s="10" t="s">
        <v>295</v>
      </c>
      <c r="C11" s="11">
        <v>6</v>
      </c>
      <c r="D11" s="12" t="s">
        <v>247</v>
      </c>
      <c r="E11" s="12" t="s">
        <v>247</v>
      </c>
      <c r="F11" s="13">
        <v>3</v>
      </c>
      <c r="G11" s="14"/>
      <c r="H11" t="s">
        <v>296</v>
      </c>
      <c r="L11" s="23" t="s">
        <v>307</v>
      </c>
      <c r="M11" s="22"/>
      <c r="N11" s="22" t="s">
        <v>162</v>
      </c>
    </row>
    <row r="12" spans="1:14">
      <c r="A12" s="9" t="s">
        <v>302</v>
      </c>
      <c r="B12" s="10" t="s">
        <v>297</v>
      </c>
      <c r="C12" s="11">
        <v>5</v>
      </c>
      <c r="D12" s="12"/>
      <c r="E12" s="12"/>
      <c r="F12" s="13"/>
      <c r="G12" s="14"/>
      <c r="H12" t="s">
        <v>296</v>
      </c>
    </row>
    <row r="13" spans="1:14">
      <c r="A13" s="9" t="s">
        <v>303</v>
      </c>
      <c r="B13" s="10" t="s">
        <v>295</v>
      </c>
      <c r="C13" s="11">
        <v>60</v>
      </c>
      <c r="D13" s="12" t="s">
        <v>247</v>
      </c>
      <c r="E13" s="12" t="s">
        <v>247</v>
      </c>
      <c r="F13" s="13">
        <v>3</v>
      </c>
      <c r="G13" s="14"/>
      <c r="H13" t="s">
        <v>162</v>
      </c>
    </row>
    <row r="14" spans="1:14">
      <c r="A14" s="9" t="s">
        <v>303</v>
      </c>
      <c r="B14" s="10" t="s">
        <v>297</v>
      </c>
      <c r="C14" s="11">
        <v>5</v>
      </c>
      <c r="D14" s="12"/>
      <c r="E14" s="12"/>
      <c r="F14" s="13"/>
      <c r="G14" s="14"/>
      <c r="H14" t="s">
        <v>162</v>
      </c>
    </row>
    <row r="15" spans="1:14">
      <c r="A15" s="15" t="s">
        <v>305</v>
      </c>
      <c r="B15" s="16" t="s">
        <v>295</v>
      </c>
      <c r="C15" s="16">
        <v>45</v>
      </c>
      <c r="D15" s="12"/>
      <c r="E15" s="12"/>
      <c r="F15" s="17">
        <v>3</v>
      </c>
      <c r="G15" s="14"/>
      <c r="H15" t="s">
        <v>296</v>
      </c>
    </row>
    <row r="16" spans="1:14">
      <c r="A16" s="15" t="s">
        <v>305</v>
      </c>
      <c r="B16" s="16" t="s">
        <v>40</v>
      </c>
      <c r="C16" s="16" t="s">
        <v>247</v>
      </c>
      <c r="D16" s="16" t="s">
        <v>247</v>
      </c>
      <c r="E16" s="16" t="s">
        <v>247</v>
      </c>
      <c r="F16" s="17" t="s">
        <v>247</v>
      </c>
      <c r="G16" s="14"/>
      <c r="H16" t="s">
        <v>296</v>
      </c>
    </row>
    <row r="17" spans="1:8">
      <c r="A17" s="15" t="s">
        <v>305</v>
      </c>
      <c r="B17" s="16" t="s">
        <v>297</v>
      </c>
      <c r="C17" s="16">
        <v>5</v>
      </c>
      <c r="D17" s="16" t="s">
        <v>247</v>
      </c>
      <c r="E17" s="16" t="s">
        <v>247</v>
      </c>
      <c r="F17" s="17" t="s">
        <v>247</v>
      </c>
      <c r="G17" s="14"/>
      <c r="H17" t="s">
        <v>296</v>
      </c>
    </row>
    <row r="18" spans="1:8" ht="28.9">
      <c r="A18" s="15" t="s">
        <v>308</v>
      </c>
      <c r="B18" s="16"/>
      <c r="C18" s="16">
        <v>3</v>
      </c>
      <c r="D18" s="18">
        <v>46031</v>
      </c>
      <c r="E18" s="18">
        <v>46035</v>
      </c>
      <c r="F18" s="17">
        <v>1</v>
      </c>
      <c r="G18" s="14"/>
      <c r="H18" t="s">
        <v>296</v>
      </c>
    </row>
    <row r="19" spans="1:8">
      <c r="A19" s="9" t="s">
        <v>306</v>
      </c>
      <c r="B19" s="10" t="s">
        <v>295</v>
      </c>
      <c r="C19" s="11">
        <v>75</v>
      </c>
      <c r="D19" s="16" t="s">
        <v>247</v>
      </c>
      <c r="E19" s="16" t="s">
        <v>247</v>
      </c>
      <c r="F19" s="13">
        <v>3</v>
      </c>
      <c r="G19" s="14"/>
      <c r="H19" t="s">
        <v>296</v>
      </c>
    </row>
    <row r="20" spans="1:8">
      <c r="A20" s="9" t="s">
        <v>306</v>
      </c>
      <c r="B20" s="16" t="s">
        <v>297</v>
      </c>
      <c r="C20" s="16">
        <v>5</v>
      </c>
      <c r="D20" s="16"/>
      <c r="E20" s="16"/>
      <c r="F20" s="13"/>
      <c r="G20" s="14"/>
      <c r="H20" t="s">
        <v>296</v>
      </c>
    </row>
    <row r="21" spans="1:8" ht="28.9">
      <c r="A21" s="15" t="s">
        <v>307</v>
      </c>
      <c r="B21" s="16" t="s">
        <v>295</v>
      </c>
      <c r="C21" s="16">
        <v>12</v>
      </c>
      <c r="D21" s="18">
        <v>46062</v>
      </c>
      <c r="E21" s="18">
        <v>46065</v>
      </c>
      <c r="F21" s="17">
        <v>3</v>
      </c>
      <c r="G21" s="14"/>
      <c r="H21" t="s">
        <v>296</v>
      </c>
    </row>
    <row r="22" spans="1:8" ht="28.9">
      <c r="A22" s="15" t="s">
        <v>307</v>
      </c>
      <c r="B22" s="16" t="s">
        <v>40</v>
      </c>
      <c r="C22" s="16">
        <v>4</v>
      </c>
      <c r="D22" s="18">
        <v>46066</v>
      </c>
      <c r="E22" s="18">
        <v>46072</v>
      </c>
      <c r="F22" s="17">
        <v>1</v>
      </c>
      <c r="G22" s="14"/>
      <c r="H22" t="s">
        <v>296</v>
      </c>
    </row>
    <row r="23" spans="1:8" ht="28.9">
      <c r="A23" s="15" t="s">
        <v>307</v>
      </c>
      <c r="B23" s="16" t="s">
        <v>297</v>
      </c>
      <c r="C23" s="16">
        <v>5</v>
      </c>
      <c r="D23" s="18">
        <v>46066</v>
      </c>
      <c r="E23" s="18">
        <v>46072</v>
      </c>
      <c r="F23" s="17" t="s">
        <v>247</v>
      </c>
      <c r="G23" s="14"/>
      <c r="H23" t="s">
        <v>296</v>
      </c>
    </row>
    <row r="24" spans="1:8">
      <c r="A24" s="9" t="s">
        <v>309</v>
      </c>
      <c r="B24" s="10" t="s">
        <v>295</v>
      </c>
      <c r="C24" s="11">
        <v>15</v>
      </c>
      <c r="D24" s="16" t="s">
        <v>247</v>
      </c>
      <c r="E24" s="16" t="s">
        <v>247</v>
      </c>
      <c r="F24" s="13">
        <v>3</v>
      </c>
      <c r="G24" s="14"/>
      <c r="H24" t="s">
        <v>296</v>
      </c>
    </row>
    <row r="25" spans="1:8">
      <c r="A25" s="9" t="s">
        <v>309</v>
      </c>
      <c r="B25" s="16" t="s">
        <v>297</v>
      </c>
      <c r="C25" s="16">
        <v>5</v>
      </c>
      <c r="D25" s="16"/>
      <c r="E25" s="16"/>
      <c r="F25" s="13"/>
      <c r="G25" s="14"/>
      <c r="H25" t="s">
        <v>296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D9A82-EA94-422B-8B91-34518CAB1393}">
  <dimension ref="A1:AN35"/>
  <sheetViews>
    <sheetView workbookViewId="0">
      <pane xSplit="5" ySplit="2" topLeftCell="J3" activePane="bottomRight" state="frozen"/>
      <selection pane="bottomRight" activeCell="Z25" sqref="Z25"/>
      <selection pane="bottomLeft"/>
      <selection pane="topRight"/>
    </sheetView>
  </sheetViews>
  <sheetFormatPr defaultRowHeight="17.25" customHeight="1"/>
  <cols>
    <col min="1" max="1" width="4.42578125" style="121" bestFit="1" customWidth="1"/>
    <col min="2" max="2" width="13.140625" style="121" customWidth="1"/>
    <col min="3" max="3" width="20.140625" style="121" customWidth="1"/>
    <col min="4" max="4" width="42.5703125" style="131" customWidth="1"/>
    <col min="5" max="5" width="10.5703125" style="131" customWidth="1"/>
    <col min="6" max="6" width="22.42578125" style="121" customWidth="1"/>
    <col min="7" max="7" width="10" style="121" customWidth="1"/>
    <col min="8" max="8" width="7.7109375" style="121" customWidth="1"/>
    <col min="9" max="9" width="9.140625" style="121" customWidth="1"/>
    <col min="10" max="11" width="7.7109375" style="121" customWidth="1"/>
    <col min="12" max="12" width="8.28515625" style="121" customWidth="1"/>
    <col min="13" max="13" width="11.7109375" style="121" customWidth="1"/>
    <col min="14" max="21" width="9.140625" style="121" customWidth="1"/>
    <col min="22" max="22" width="10" style="121" bestFit="1" customWidth="1"/>
    <col min="23" max="23" width="16" style="121" bestFit="1" customWidth="1"/>
    <col min="24" max="24" width="16.5703125" style="121" bestFit="1" customWidth="1"/>
    <col min="25" max="25" width="11.7109375" style="121" bestFit="1" customWidth="1"/>
    <col min="26" max="26" width="11.7109375" style="213" customWidth="1"/>
    <col min="27" max="30" width="11.7109375" style="121" customWidth="1"/>
    <col min="31" max="31" width="15" style="121" bestFit="1" customWidth="1"/>
    <col min="32" max="32" width="11.28515625" style="121" bestFit="1" customWidth="1"/>
    <col min="33" max="33" width="12.5703125" style="121" bestFit="1" customWidth="1"/>
    <col min="34" max="34" width="10.140625" style="121" bestFit="1" customWidth="1"/>
    <col min="35" max="35" width="10.42578125" style="121" bestFit="1" customWidth="1"/>
    <col min="36" max="36" width="12.5703125" style="121" bestFit="1" customWidth="1"/>
    <col min="37" max="37" width="9" style="121" bestFit="1" customWidth="1"/>
    <col min="38" max="38" width="13.28515625" style="121" bestFit="1" customWidth="1"/>
    <col min="39" max="39" width="12.42578125" style="121" bestFit="1" customWidth="1"/>
    <col min="40" max="16384" width="9.140625" style="121"/>
  </cols>
  <sheetData>
    <row r="1" spans="1:40" ht="17.25" customHeight="1">
      <c r="A1" s="300" t="s">
        <v>310</v>
      </c>
      <c r="B1" s="300"/>
      <c r="C1" s="300"/>
      <c r="D1" s="300"/>
      <c r="E1" s="260"/>
      <c r="F1" s="118"/>
      <c r="G1" s="118"/>
      <c r="H1" s="119" t="s">
        <v>20</v>
      </c>
      <c r="I1" s="119" t="s">
        <v>21</v>
      </c>
      <c r="J1" s="119" t="s">
        <v>22</v>
      </c>
      <c r="K1" s="119" t="s">
        <v>23</v>
      </c>
      <c r="L1" s="120"/>
      <c r="M1" s="298" t="s">
        <v>24</v>
      </c>
      <c r="N1" s="298"/>
      <c r="O1" s="298"/>
      <c r="P1" s="298"/>
      <c r="Q1" s="298"/>
      <c r="R1" s="298"/>
      <c r="S1" s="298"/>
      <c r="T1" s="298"/>
      <c r="U1" s="298"/>
      <c r="V1" s="298"/>
      <c r="W1" s="296" t="s">
        <v>25</v>
      </c>
      <c r="X1" s="297"/>
      <c r="Y1" s="297"/>
      <c r="Z1" s="297"/>
      <c r="AA1" s="297"/>
      <c r="AB1" s="297"/>
      <c r="AC1" s="297"/>
      <c r="AD1" s="297"/>
      <c r="AE1" s="297"/>
      <c r="AF1" s="297"/>
      <c r="AG1" s="297"/>
      <c r="AH1" s="297"/>
      <c r="AI1" s="297"/>
      <c r="AJ1" s="297"/>
      <c r="AK1" s="297"/>
      <c r="AL1" s="297"/>
      <c r="AM1" s="297"/>
      <c r="AN1" s="303"/>
    </row>
    <row r="2" spans="1:40" ht="17.25" customHeight="1">
      <c r="A2" s="122" t="s">
        <v>27</v>
      </c>
      <c r="B2" s="122" t="s">
        <v>28</v>
      </c>
      <c r="C2" s="123" t="s">
        <v>29</v>
      </c>
      <c r="D2" s="129" t="s">
        <v>30</v>
      </c>
      <c r="E2" s="129" t="s">
        <v>171</v>
      </c>
      <c r="F2" s="122" t="s">
        <v>32</v>
      </c>
      <c r="G2" s="122" t="s">
        <v>33</v>
      </c>
      <c r="H2" s="124" t="s">
        <v>34</v>
      </c>
      <c r="I2" s="124" t="s">
        <v>34</v>
      </c>
      <c r="J2" s="124" t="s">
        <v>34</v>
      </c>
      <c r="K2" s="124" t="s">
        <v>34</v>
      </c>
      <c r="L2" s="124" t="s">
        <v>35</v>
      </c>
      <c r="M2" s="125" t="s">
        <v>36</v>
      </c>
      <c r="N2" s="125" t="s">
        <v>37</v>
      </c>
      <c r="O2" s="125" t="s">
        <v>38</v>
      </c>
      <c r="P2" s="125" t="s">
        <v>39</v>
      </c>
      <c r="Q2" s="125" t="s">
        <v>40</v>
      </c>
      <c r="R2" s="125" t="s">
        <v>41</v>
      </c>
      <c r="S2" s="125" t="s">
        <v>42</v>
      </c>
      <c r="T2" s="125" t="s">
        <v>43</v>
      </c>
      <c r="U2" s="125" t="s">
        <v>44</v>
      </c>
      <c r="V2" s="126" t="s">
        <v>45</v>
      </c>
      <c r="W2" s="127" t="str">
        <f>"Optimistic ("&amp;Summary!E7&amp;")"</f>
        <v>Optimistic (50%)</v>
      </c>
      <c r="X2" s="127" t="s">
        <v>46</v>
      </c>
      <c r="Y2" s="173" t="s">
        <v>47</v>
      </c>
      <c r="Z2" s="172" t="s">
        <v>48</v>
      </c>
      <c r="AA2" s="172" t="s">
        <v>49</v>
      </c>
      <c r="AB2" s="172" t="s">
        <v>50</v>
      </c>
      <c r="AC2" s="172" t="s">
        <v>51</v>
      </c>
      <c r="AD2" s="172" t="s">
        <v>52</v>
      </c>
      <c r="AE2" s="209" t="s">
        <v>36</v>
      </c>
      <c r="AF2" s="81" t="s">
        <v>53</v>
      </c>
      <c r="AG2" s="81" t="s">
        <v>54</v>
      </c>
      <c r="AH2" s="81" t="s">
        <v>55</v>
      </c>
      <c r="AI2" s="81" t="s">
        <v>56</v>
      </c>
      <c r="AJ2" s="209" t="s">
        <v>41</v>
      </c>
      <c r="AK2" s="81" t="s">
        <v>57</v>
      </c>
      <c r="AL2" s="81" t="s">
        <v>58</v>
      </c>
      <c r="AM2" s="209" t="s">
        <v>44</v>
      </c>
      <c r="AN2" s="303"/>
    </row>
    <row r="3" spans="1:40" ht="17.25" customHeight="1">
      <c r="A3" s="304">
        <v>1</v>
      </c>
      <c r="B3" s="305" t="s">
        <v>59</v>
      </c>
      <c r="C3" s="306" t="s">
        <v>311</v>
      </c>
      <c r="D3" s="307" t="s">
        <v>312</v>
      </c>
      <c r="E3" s="307"/>
      <c r="F3" s="304" t="s">
        <v>154</v>
      </c>
      <c r="G3" s="304"/>
      <c r="H3" s="304"/>
      <c r="I3" s="304"/>
      <c r="J3" s="304"/>
      <c r="K3" s="304"/>
      <c r="L3" s="304"/>
      <c r="M3" s="304"/>
      <c r="N3" s="304">
        <v>1</v>
      </c>
      <c r="O3" s="308">
        <v>2</v>
      </c>
      <c r="P3" s="16">
        <v>23</v>
      </c>
      <c r="Q3" s="309">
        <v>2</v>
      </c>
      <c r="R3" s="304"/>
      <c r="S3" s="304">
        <v>3</v>
      </c>
      <c r="T3" s="304">
        <v>3</v>
      </c>
      <c r="U3" s="304">
        <v>1</v>
      </c>
      <c r="V3" s="310">
        <f>SUM(M3:U3)</f>
        <v>35</v>
      </c>
      <c r="W3" s="311">
        <f>V3 - (V3 * (SUBSTITUTE(SUBSTITUTE($W$2, "Optimistic (", ""), "%)", "") / 100))</f>
        <v>17.5</v>
      </c>
      <c r="X3" s="311">
        <f>V3 + (W3 * (SUBSTITUTE(SUBSTITUTE($W$2, "Optimistic (", ""), "%)", "") / 100))</f>
        <v>43.75</v>
      </c>
      <c r="Y3" s="128">
        <f>(W3+(4*V3)+X3)/6</f>
        <v>33.541666666666664</v>
      </c>
      <c r="Z3" s="210">
        <f>Y3/2</f>
        <v>16.770833333333332</v>
      </c>
      <c r="AA3" s="187"/>
      <c r="AB3" s="187"/>
      <c r="AC3" s="190"/>
      <c r="AD3" s="187"/>
      <c r="AE3" s="206">
        <f>IF($Z3="",0,IF($M3="",0,$M3))</f>
        <v>0</v>
      </c>
      <c r="AF3" s="206">
        <f>IF(OR($Z3="",$N3=""),0,$Z3*5%)</f>
        <v>0.83854166666666663</v>
      </c>
      <c r="AG3" s="206">
        <f>IF(OR($Z3="",$O3=""),0,$Z3*10%)</f>
        <v>1.6770833333333333</v>
      </c>
      <c r="AH3" s="206">
        <f>IF($Z3="",0,IF(AND($P3="",$Q3=""),($Z3-$AE3-$AF3-$AG3-$AJ3-$AK3-$AL3-$AM3),IF($P3="",0,IF($Q3="",($Z3-$AE3-$AF3-$AG3-$AJ3-$AK3-$AL3-$AM3),($Z3-$AE3-$AF3-$AG3-$AJ3-$AK3-$AL3-$AM3)-$AI3))))</f>
        <v>7.616185897435896</v>
      </c>
      <c r="AI3" s="206">
        <f>IF($Z3="",0,IF(AND($P3="",$Q3=""),0,IF($Q3="",0,IF($P3="",($Z3-$AE3-$AF3-$AG3-$AJ3-$AK3-$AL3-$AM3),($Z3-$AE3-$AF3-$AG3-$AJ3-$AK3-$AL3-$AM3)*15%/(50%+15%)))))</f>
        <v>2.2848557692307683</v>
      </c>
      <c r="AJ3" s="206">
        <f>IF($Z3="",0,IF($R3="",0,$R3))</f>
        <v>0</v>
      </c>
      <c r="AK3" s="206">
        <f>IF(OR($Z3="",$S3=""),0,$Z3*10%)</f>
        <v>1.6770833333333333</v>
      </c>
      <c r="AL3" s="206">
        <f>IF(OR($Z3="",$T3=""),0,$Z3*10%)</f>
        <v>1.6770833333333333</v>
      </c>
      <c r="AM3" s="206">
        <f>IF($Z3="",0,IF($U3="",0,$U3))</f>
        <v>1</v>
      </c>
      <c r="AN3" s="303"/>
    </row>
    <row r="4" spans="1:40" ht="17.25" customHeight="1">
      <c r="A4" s="304">
        <v>2</v>
      </c>
      <c r="B4" s="305"/>
      <c r="C4" s="306"/>
      <c r="D4" s="307" t="s">
        <v>313</v>
      </c>
      <c r="E4" s="307"/>
      <c r="F4" s="304" t="s">
        <v>154</v>
      </c>
      <c r="G4" s="304"/>
      <c r="H4" s="304"/>
      <c r="I4" s="304"/>
      <c r="J4" s="304"/>
      <c r="K4" s="304"/>
      <c r="L4" s="304"/>
      <c r="M4" s="304"/>
      <c r="N4" s="304">
        <v>1</v>
      </c>
      <c r="O4" s="308">
        <v>2</v>
      </c>
      <c r="P4" s="16">
        <v>23</v>
      </c>
      <c r="Q4" s="309">
        <v>2</v>
      </c>
      <c r="R4" s="304"/>
      <c r="S4" s="304">
        <v>3</v>
      </c>
      <c r="T4" s="304">
        <v>3</v>
      </c>
      <c r="U4" s="304">
        <v>1</v>
      </c>
      <c r="V4" s="310">
        <f t="shared" ref="V4:V32" si="0">SUM(M4:U4)</f>
        <v>35</v>
      </c>
      <c r="W4" s="311">
        <f t="shared" ref="W4:W32" si="1">V4 - (V4 * (SUBSTITUTE(SUBSTITUTE($W$2, "Optimistic (", ""), "%)", "") / 100))</f>
        <v>17.5</v>
      </c>
      <c r="X4" s="311">
        <f t="shared" ref="X4:X32" si="2">V4 + (W4 * (SUBSTITUTE(SUBSTITUTE($W$2, "Optimistic (", ""), "%)", "") / 100))</f>
        <v>43.75</v>
      </c>
      <c r="Y4" s="128">
        <f t="shared" ref="Y4:Y32" si="3">(W4+(4*V4)+X4)/6</f>
        <v>33.541666666666664</v>
      </c>
      <c r="Z4" s="207">
        <f>Y4/2</f>
        <v>16.770833333333332</v>
      </c>
      <c r="AA4" s="187"/>
      <c r="AB4" s="187"/>
      <c r="AC4" s="190"/>
      <c r="AD4" s="185"/>
      <c r="AE4" s="206">
        <f>IF($Z4="",0,IF($M4="",0,$M4))</f>
        <v>0</v>
      </c>
      <c r="AF4" s="206">
        <f>IF(OR($Z4="",$N4=""),0,$Z4*5%)</f>
        <v>0.83854166666666663</v>
      </c>
      <c r="AG4" s="206">
        <f>IF(OR($Z4="",$O4=""),0,$Z4*10%)</f>
        <v>1.6770833333333333</v>
      </c>
      <c r="AH4" s="206">
        <f>IF($Z4="",0,IF(AND($P4="",$Q4=""),($Z4-$AE4-$AF4-$AG4-$AJ4-$AK4-$AL4-$AM4),IF($P4="",0,IF($Q4="",($Z4-$AE4-$AF4-$AG4-$AJ4-$AK4-$AL4-$AM4),($Z4-$AE4-$AF4-$AG4-$AJ4-$AK4-$AL4-$AM4)-$AI4))))</f>
        <v>7.616185897435896</v>
      </c>
      <c r="AI4" s="206">
        <f>IF($Z4="",0,IF(AND($P4="",$Q4=""),0,IF($Q4="",0,IF($P4="",($Z4-$AE4-$AF4-$AG4-$AJ4-$AK4-$AL4-$AM4),($Z4-$AE4-$AF4-$AG4-$AJ4-$AK4-$AL4-$AM4)*15%/(50%+15%)))))</f>
        <v>2.2848557692307683</v>
      </c>
      <c r="AJ4" s="206">
        <f>IF($Z4="",0,IF($R4="",0,$R4))</f>
        <v>0</v>
      </c>
      <c r="AK4" s="206">
        <f>IF(OR($Z4="",$S4=""),0,$Z4*10%)</f>
        <v>1.6770833333333333</v>
      </c>
      <c r="AL4" s="206">
        <f>IF(OR($Z4="",$T4=""),0,$Z4*10%)</f>
        <v>1.6770833333333333</v>
      </c>
      <c r="AM4" s="206">
        <f>IF($Z4="",0,IF($U4="",0,$U4))</f>
        <v>1</v>
      </c>
      <c r="AN4" s="303"/>
    </row>
    <row r="5" spans="1:40" ht="17.25" customHeight="1">
      <c r="A5" s="304">
        <v>3</v>
      </c>
      <c r="B5" s="305"/>
      <c r="C5" s="306"/>
      <c r="D5" s="307" t="s">
        <v>314</v>
      </c>
      <c r="E5" s="307"/>
      <c r="F5" s="304" t="s">
        <v>154</v>
      </c>
      <c r="G5" s="304"/>
      <c r="H5" s="304"/>
      <c r="I5" s="304"/>
      <c r="J5" s="304"/>
      <c r="K5" s="304"/>
      <c r="L5" s="304"/>
      <c r="M5" s="304"/>
      <c r="N5" s="304">
        <v>1</v>
      </c>
      <c r="O5" s="308">
        <v>3</v>
      </c>
      <c r="P5" s="16">
        <v>10</v>
      </c>
      <c r="Q5" s="309">
        <v>10</v>
      </c>
      <c r="R5" s="304"/>
      <c r="S5" s="304">
        <v>5</v>
      </c>
      <c r="T5" s="304"/>
      <c r="U5" s="304">
        <v>5</v>
      </c>
      <c r="V5" s="310">
        <f t="shared" si="0"/>
        <v>34</v>
      </c>
      <c r="W5" s="311">
        <f t="shared" si="1"/>
        <v>17</v>
      </c>
      <c r="X5" s="311">
        <f t="shared" si="2"/>
        <v>42.5</v>
      </c>
      <c r="Y5" s="128">
        <f t="shared" si="3"/>
        <v>32.583333333333336</v>
      </c>
      <c r="Z5" s="207">
        <f t="shared" ref="Z5:Z32" si="4">Y5/2</f>
        <v>16.291666666666668</v>
      </c>
      <c r="AA5" s="184"/>
      <c r="AB5" s="184"/>
      <c r="AC5" s="184"/>
      <c r="AD5" s="185"/>
      <c r="AE5" s="206">
        <f>IF($Z5="",0,IF($M5="",0,$M5))</f>
        <v>0</v>
      </c>
      <c r="AF5" s="206">
        <f>IF(OR($Z5="",$N5=""),0,$Z5*5%)</f>
        <v>0.81458333333333344</v>
      </c>
      <c r="AG5" s="206">
        <f>IF(OR($Z5="",$O5=""),0,$Z5*10%)</f>
        <v>1.6291666666666669</v>
      </c>
      <c r="AH5" s="206">
        <f>IF($Z5="",0,IF(AND($P5="",$Q5=""),($Z5-$AE5-$AF5-$AG5-$AJ5-$AK5-$AL5-$AM5),IF($P5="",0,IF($Q5="",($Z5-$AE5-$AF5-$AG5-$AJ5-$AK5-$AL5-$AM5),($Z5-$AE5-$AF5-$AG5-$AJ5-$AK5-$AL5-$AM5)-$AI5))))</f>
        <v>5.5528846153846168</v>
      </c>
      <c r="AI5" s="206">
        <f>IF($Z5="",0,IF(AND($P5="",$Q5=""),0,IF($Q5="",0,IF($P5="",($Z5-$AE5-$AF5-$AG5-$AJ5-$AK5-$AL5-$AM5),($Z5-$AE5-$AF5-$AG5-$AJ5-$AK5-$AL5-$AM5)*15%/(50%+15%)))))</f>
        <v>1.6658653846153848</v>
      </c>
      <c r="AJ5" s="206">
        <f>IF($Z5="",0,IF($R5="",0,$R5))</f>
        <v>0</v>
      </c>
      <c r="AK5" s="206">
        <f>IF(OR($Z5="",$S5=""),0,$Z5*10%)</f>
        <v>1.6291666666666669</v>
      </c>
      <c r="AL5" s="206">
        <f>IF(OR($Z5="",$T5=""),0,$Z5*10%)</f>
        <v>0</v>
      </c>
      <c r="AM5" s="206">
        <f>IF($Z5="",0,IF($U5="",0,$U5))</f>
        <v>5</v>
      </c>
      <c r="AN5" s="303"/>
    </row>
    <row r="6" spans="1:40" ht="17.25" customHeight="1">
      <c r="A6" s="304">
        <v>4</v>
      </c>
      <c r="B6" s="305"/>
      <c r="C6" s="306"/>
      <c r="D6" s="307" t="s">
        <v>315</v>
      </c>
      <c r="E6" s="307"/>
      <c r="F6" s="304" t="s">
        <v>154</v>
      </c>
      <c r="G6" s="304"/>
      <c r="H6" s="304"/>
      <c r="I6" s="304"/>
      <c r="J6" s="304"/>
      <c r="K6" s="304"/>
      <c r="L6" s="304"/>
      <c r="M6" s="304"/>
      <c r="N6" s="304">
        <v>1</v>
      </c>
      <c r="O6" s="308">
        <v>1</v>
      </c>
      <c r="P6" s="16">
        <v>3</v>
      </c>
      <c r="Q6" s="309">
        <v>2</v>
      </c>
      <c r="R6" s="304"/>
      <c r="S6" s="304">
        <v>1</v>
      </c>
      <c r="T6" s="304">
        <v>3</v>
      </c>
      <c r="U6" s="304">
        <v>1</v>
      </c>
      <c r="V6" s="310">
        <f t="shared" si="0"/>
        <v>12</v>
      </c>
      <c r="W6" s="311">
        <f t="shared" si="1"/>
        <v>6</v>
      </c>
      <c r="X6" s="311">
        <f t="shared" si="2"/>
        <v>15</v>
      </c>
      <c r="Y6" s="128">
        <f t="shared" si="3"/>
        <v>11.5</v>
      </c>
      <c r="Z6" s="207">
        <f t="shared" si="4"/>
        <v>5.75</v>
      </c>
      <c r="AA6" s="184"/>
      <c r="AB6" s="184"/>
      <c r="AC6" s="184"/>
      <c r="AD6" s="185"/>
      <c r="AE6" s="206">
        <f>IF($Z6="",0,IF($M6="",0,$M6))</f>
        <v>0</v>
      </c>
      <c r="AF6" s="206">
        <f>IF(OR($Z6="",$N6=""),0,$Z6*5%)</f>
        <v>0.28750000000000003</v>
      </c>
      <c r="AG6" s="206">
        <f>IF(OR($Z6="",$O6=""),0,$Z6*10%)</f>
        <v>0.57500000000000007</v>
      </c>
      <c r="AH6" s="206">
        <f>IF($Z6="",0,IF(AND($P6="",$Q6=""),($Z6-$AE6-$AF6-$AG6-$AJ6-$AK6-$AL6-$AM6),IF($P6="",0,IF($Q6="",($Z6-$AE6-$AF6-$AG6-$AJ6-$AK6-$AL6-$AM6),($Z6-$AE6-$AF6-$AG6-$AJ6-$AK6-$AL6-$AM6)-$AI6))))</f>
        <v>2.1057692307692308</v>
      </c>
      <c r="AI6" s="206">
        <f>IF($Z6="",0,IF(AND($P6="",$Q6=""),0,IF($Q6="",0,IF($P6="",($Z6-$AE6-$AF6-$AG6-$AJ6-$AK6-$AL6-$AM6),($Z6-$AE6-$AF6-$AG6-$AJ6-$AK6-$AL6-$AM6)*15%/(50%+15%)))))</f>
        <v>0.6317307692307691</v>
      </c>
      <c r="AJ6" s="206">
        <f>IF($Z6="",0,IF($R6="",0,$R6))</f>
        <v>0</v>
      </c>
      <c r="AK6" s="206">
        <f>IF(OR($Z6="",$S6=""),0,$Z6*10%)</f>
        <v>0.57500000000000007</v>
      </c>
      <c r="AL6" s="206">
        <f>IF(OR($Z6="",$T6=""),0,$Z6*10%)</f>
        <v>0.57500000000000007</v>
      </c>
      <c r="AM6" s="206">
        <f>IF($Z6="",0,IF($U6="",0,$U6))</f>
        <v>1</v>
      </c>
      <c r="AN6" s="303"/>
    </row>
    <row r="7" spans="1:40" ht="17.25" customHeight="1">
      <c r="A7" s="304">
        <v>5</v>
      </c>
      <c r="B7" s="305"/>
      <c r="C7" s="306"/>
      <c r="D7" s="307" t="s">
        <v>316</v>
      </c>
      <c r="E7" s="307"/>
      <c r="F7" s="304" t="s">
        <v>317</v>
      </c>
      <c r="G7" s="304"/>
      <c r="H7" s="304"/>
      <c r="I7" s="304"/>
      <c r="J7" s="304"/>
      <c r="K7" s="304"/>
      <c r="L7" s="304"/>
      <c r="M7" s="304"/>
      <c r="N7" s="304">
        <v>1</v>
      </c>
      <c r="O7" s="308">
        <v>2</v>
      </c>
      <c r="P7" s="16">
        <v>15</v>
      </c>
      <c r="Q7" s="309">
        <v>3</v>
      </c>
      <c r="R7" s="304"/>
      <c r="S7" s="304">
        <v>2</v>
      </c>
      <c r="T7" s="304">
        <v>3</v>
      </c>
      <c r="U7" s="304">
        <v>1</v>
      </c>
      <c r="V7" s="310">
        <f t="shared" si="0"/>
        <v>27</v>
      </c>
      <c r="W7" s="311">
        <f t="shared" si="1"/>
        <v>13.5</v>
      </c>
      <c r="X7" s="311">
        <f t="shared" si="2"/>
        <v>33.75</v>
      </c>
      <c r="Y7" s="128">
        <f t="shared" si="3"/>
        <v>25.875</v>
      </c>
      <c r="Z7" s="207">
        <f t="shared" si="4"/>
        <v>12.9375</v>
      </c>
      <c r="AA7" s="184"/>
      <c r="AB7" s="184"/>
      <c r="AC7" s="184"/>
      <c r="AD7" s="185"/>
      <c r="AE7" s="206">
        <f>IF($Z7="",0,IF($M7="",0,$M7))</f>
        <v>0</v>
      </c>
      <c r="AF7" s="206">
        <f>IF(OR($Z7="",$N7=""),0,$Z7*5%)</f>
        <v>0.64687500000000009</v>
      </c>
      <c r="AG7" s="206">
        <f>IF(OR($Z7="",$O7=""),0,$Z7*10%)</f>
        <v>1.2937500000000002</v>
      </c>
      <c r="AH7" s="206">
        <f>IF($Z7="",0,IF(AND($P7="",$Q7=""),($Z7-$AE7-$AF7-$AG7-$AJ7-$AK7-$AL7-$AM7),IF($P7="",0,IF($Q7="",($Z7-$AE7-$AF7-$AG7-$AJ7-$AK7-$AL7-$AM7),($Z7-$AE7-$AF7-$AG7-$AJ7-$AK7-$AL7-$AM7)-$AI7))))</f>
        <v>5.6995192307692317</v>
      </c>
      <c r="AI7" s="206">
        <f>IF($Z7="",0,IF(AND($P7="",$Q7=""),0,IF($Q7="",0,IF($P7="",($Z7-$AE7-$AF7-$AG7-$AJ7-$AK7-$AL7-$AM7),($Z7-$AE7-$AF7-$AG7-$AJ7-$AK7-$AL7-$AM7)*15%/(50%+15%)))))</f>
        <v>1.7098557692307694</v>
      </c>
      <c r="AJ7" s="206">
        <f>IF($Z7="",0,IF($R7="",0,$R7))</f>
        <v>0</v>
      </c>
      <c r="AK7" s="206">
        <f>IF(OR($Z7="",$S7=""),0,$Z7*10%)</f>
        <v>1.2937500000000002</v>
      </c>
      <c r="AL7" s="206">
        <f>IF(OR($Z7="",$T7=""),0,$Z7*10%)</f>
        <v>1.2937500000000002</v>
      </c>
      <c r="AM7" s="206">
        <f>IF($Z7="",0,IF($U7="",0,$U7))</f>
        <v>1</v>
      </c>
      <c r="AN7" s="303"/>
    </row>
    <row r="8" spans="1:40" ht="17.25" customHeight="1">
      <c r="A8" s="304">
        <v>6</v>
      </c>
      <c r="B8" s="305"/>
      <c r="C8" s="306"/>
      <c r="D8" s="307" t="s">
        <v>318</v>
      </c>
      <c r="E8" s="307"/>
      <c r="F8" s="304" t="s">
        <v>319</v>
      </c>
      <c r="G8" s="304"/>
      <c r="H8" s="304"/>
      <c r="I8" s="304"/>
      <c r="J8" s="304"/>
      <c r="K8" s="304"/>
      <c r="L8" s="304"/>
      <c r="M8" s="304"/>
      <c r="N8" s="304">
        <v>2</v>
      </c>
      <c r="O8" s="308">
        <v>3</v>
      </c>
      <c r="P8" s="16">
        <v>38</v>
      </c>
      <c r="Q8" s="309">
        <v>5</v>
      </c>
      <c r="R8" s="304"/>
      <c r="S8" s="304">
        <v>3</v>
      </c>
      <c r="T8" s="304"/>
      <c r="U8" s="304"/>
      <c r="V8" s="310">
        <f t="shared" si="0"/>
        <v>51</v>
      </c>
      <c r="W8" s="311">
        <f t="shared" si="1"/>
        <v>25.5</v>
      </c>
      <c r="X8" s="311">
        <f t="shared" si="2"/>
        <v>63.75</v>
      </c>
      <c r="Y8" s="128">
        <f t="shared" si="3"/>
        <v>48.875</v>
      </c>
      <c r="Z8" s="207">
        <f t="shared" si="4"/>
        <v>24.4375</v>
      </c>
      <c r="AA8" s="184"/>
      <c r="AB8" s="184"/>
      <c r="AC8" s="184"/>
      <c r="AD8" s="185"/>
      <c r="AE8" s="206">
        <f>IF($Z8="",0,IF($M8="",0,$M8))</f>
        <v>0</v>
      </c>
      <c r="AF8" s="206">
        <f>IF(OR($Z8="",$N8=""),0,$Z8*5%)</f>
        <v>1.221875</v>
      </c>
      <c r="AG8" s="206">
        <f>IF(OR($Z8="",$O8=""),0,$Z8*10%)</f>
        <v>2.4437500000000001</v>
      </c>
      <c r="AH8" s="206">
        <f>IF($Z8="",0,IF(AND($P8="",$Q8=""),($Z8-$AE8-$AF8-$AG8-$AJ8-$AK8-$AL8-$AM8),IF($P8="",0,IF($Q8="",($Z8-$AE8-$AF8-$AG8-$AJ8-$AK8-$AL8-$AM8),($Z8-$AE8-$AF8-$AG8-$AJ8-$AK8-$AL8-$AM8)-$AI8))))</f>
        <v>14.09855769230769</v>
      </c>
      <c r="AI8" s="206">
        <f>IF($Z8="",0,IF(AND($P8="",$Q8=""),0,IF($Q8="",0,IF($P8="",($Z8-$AE8-$AF8-$AG8-$AJ8-$AK8-$AL8-$AM8),($Z8-$AE8-$AF8-$AG8-$AJ8-$AK8-$AL8-$AM8)*15%/(50%+15%)))))</f>
        <v>4.2295673076923066</v>
      </c>
      <c r="AJ8" s="206">
        <f>IF($Z8="",0,IF($R8="",0,$R8))</f>
        <v>0</v>
      </c>
      <c r="AK8" s="206">
        <f>IF(OR($Z8="",$S8=""),0,$Z8*10%)</f>
        <v>2.4437500000000001</v>
      </c>
      <c r="AL8" s="206">
        <f>IF(OR($Z8="",$T8=""),0,$Z8*10%)</f>
        <v>0</v>
      </c>
      <c r="AM8" s="206">
        <f>IF($Z8="",0,IF($U8="",0,$U8))</f>
        <v>0</v>
      </c>
      <c r="AN8" s="303"/>
    </row>
    <row r="9" spans="1:40" ht="17.25" customHeight="1">
      <c r="A9" s="304">
        <v>7</v>
      </c>
      <c r="B9" s="305"/>
      <c r="C9" s="306"/>
      <c r="D9" s="307" t="s">
        <v>320</v>
      </c>
      <c r="E9" s="307"/>
      <c r="F9" s="304" t="s">
        <v>321</v>
      </c>
      <c r="G9" s="304"/>
      <c r="H9" s="304"/>
      <c r="I9" s="304"/>
      <c r="J9" s="304"/>
      <c r="K9" s="304"/>
      <c r="L9" s="304"/>
      <c r="M9" s="304"/>
      <c r="N9" s="304"/>
      <c r="O9" s="308"/>
      <c r="P9" s="16">
        <v>15</v>
      </c>
      <c r="Q9" s="309">
        <v>3</v>
      </c>
      <c r="R9" s="304"/>
      <c r="S9" s="304">
        <v>2</v>
      </c>
      <c r="T9" s="304"/>
      <c r="U9" s="304"/>
      <c r="V9" s="310">
        <f t="shared" si="0"/>
        <v>20</v>
      </c>
      <c r="W9" s="311">
        <f t="shared" si="1"/>
        <v>10</v>
      </c>
      <c r="X9" s="311">
        <f t="shared" si="2"/>
        <v>25</v>
      </c>
      <c r="Y9" s="128">
        <f t="shared" si="3"/>
        <v>19.166666666666668</v>
      </c>
      <c r="Z9" s="207">
        <f t="shared" si="4"/>
        <v>9.5833333333333339</v>
      </c>
      <c r="AA9" s="184"/>
      <c r="AB9" s="184"/>
      <c r="AC9" s="184"/>
      <c r="AD9" s="185"/>
      <c r="AE9" s="206">
        <f>IF($Z9="",0,IF($M9="",0,$M9))</f>
        <v>0</v>
      </c>
      <c r="AF9" s="206">
        <f>IF(OR($Z9="",$N9=""),0,$Z9*5%)</f>
        <v>0</v>
      </c>
      <c r="AG9" s="206">
        <f>IF(OR($Z9="",$O9=""),0,$Z9*10%)</f>
        <v>0</v>
      </c>
      <c r="AH9" s="206">
        <f>IF($Z9="",0,IF(AND($P9="",$Q9=""),($Z9-$AE9-$AF9-$AG9-$AJ9-$AK9-$AL9-$AM9),IF($P9="",0,IF($Q9="",($Z9-$AE9-$AF9-$AG9-$AJ9-$AK9-$AL9-$AM9),($Z9-$AE9-$AF9-$AG9-$AJ9-$AK9-$AL9-$AM9)-$AI9))))</f>
        <v>6.634615384615385</v>
      </c>
      <c r="AI9" s="206">
        <f>IF($Z9="",0,IF(AND($P9="",$Q9=""),0,IF($Q9="",0,IF($P9="",($Z9-$AE9-$AF9-$AG9-$AJ9-$AK9-$AL9-$AM9),($Z9-$AE9-$AF9-$AG9-$AJ9-$AK9-$AL9-$AM9)*15%/(50%+15%)))))</f>
        <v>1.9903846153846152</v>
      </c>
      <c r="AJ9" s="206">
        <f>IF($Z9="",0,IF($R9="",0,$R9))</f>
        <v>0</v>
      </c>
      <c r="AK9" s="206">
        <f>IF(OR($Z9="",$S9=""),0,$Z9*10%)</f>
        <v>0.95833333333333348</v>
      </c>
      <c r="AL9" s="206">
        <f>IF(OR($Z9="",$T9=""),0,$Z9*10%)</f>
        <v>0</v>
      </c>
      <c r="AM9" s="206">
        <f>IF($Z9="",0,IF($U9="",0,$U9))</f>
        <v>0</v>
      </c>
      <c r="AN9" s="303"/>
    </row>
    <row r="10" spans="1:40" ht="17.25" customHeight="1">
      <c r="A10" s="304">
        <v>8</v>
      </c>
      <c r="B10" s="305"/>
      <c r="C10" s="306"/>
      <c r="D10" s="307" t="s">
        <v>322</v>
      </c>
      <c r="E10" s="307"/>
      <c r="F10" s="312" t="s">
        <v>323</v>
      </c>
      <c r="G10" s="304"/>
      <c r="H10" s="304"/>
      <c r="I10" s="304"/>
      <c r="J10" s="304"/>
      <c r="K10" s="304"/>
      <c r="L10" s="304"/>
      <c r="M10" s="304"/>
      <c r="N10" s="304">
        <v>1</v>
      </c>
      <c r="O10" s="308">
        <v>1</v>
      </c>
      <c r="P10" s="16">
        <v>8</v>
      </c>
      <c r="Q10" s="309">
        <v>2</v>
      </c>
      <c r="R10" s="304"/>
      <c r="S10" s="304">
        <v>1</v>
      </c>
      <c r="T10" s="304"/>
      <c r="U10" s="304"/>
      <c r="V10" s="310">
        <f t="shared" si="0"/>
        <v>13</v>
      </c>
      <c r="W10" s="311">
        <f t="shared" si="1"/>
        <v>6.5</v>
      </c>
      <c r="X10" s="311">
        <f t="shared" si="2"/>
        <v>16.25</v>
      </c>
      <c r="Y10" s="128">
        <f t="shared" si="3"/>
        <v>12.458333333333334</v>
      </c>
      <c r="Z10" s="207">
        <f t="shared" si="4"/>
        <v>6.229166666666667</v>
      </c>
      <c r="AA10" s="184"/>
      <c r="AB10" s="184"/>
      <c r="AC10" s="184"/>
      <c r="AD10" s="185"/>
      <c r="AE10" s="206">
        <f>IF($Z10="",0,IF($M10="",0,$M10))</f>
        <v>0</v>
      </c>
      <c r="AF10" s="206">
        <f>IF(OR($Z10="",$N10=""),0,$Z10*5%)</f>
        <v>0.31145833333333339</v>
      </c>
      <c r="AG10" s="206">
        <f>IF(OR($Z10="",$O10=""),0,$Z10*10%)</f>
        <v>0.62291666666666679</v>
      </c>
      <c r="AH10" s="206">
        <f>IF($Z10="",0,IF(AND($P10="",$Q10=""),($Z10-$AE10-$AF10-$AG10-$AJ10-$AK10-$AL10-$AM10),IF($P10="",0,IF($Q10="",($Z10-$AE10-$AF10-$AG10-$AJ10-$AK10-$AL10-$AM10),($Z10-$AE10-$AF10-$AG10-$AJ10-$AK10-$AL10-$AM10)-$AI10))))</f>
        <v>3.59375</v>
      </c>
      <c r="AI10" s="206">
        <f>IF($Z10="",0,IF(AND($P10="",$Q10=""),0,IF($Q10="",0,IF($P10="",($Z10-$AE10-$AF10-$AG10-$AJ10-$AK10-$AL10-$AM10),($Z10-$AE10-$AF10-$AG10-$AJ10-$AK10-$AL10-$AM10)*15%/(50%+15%)))))</f>
        <v>1.078125</v>
      </c>
      <c r="AJ10" s="206">
        <f>IF($Z10="",0,IF($R10="",0,$R10))</f>
        <v>0</v>
      </c>
      <c r="AK10" s="206">
        <f>IF(OR($Z10="",$S10=""),0,$Z10*10%)</f>
        <v>0.62291666666666679</v>
      </c>
      <c r="AL10" s="206">
        <f>IF(OR($Z10="",$T10=""),0,$Z10*10%)</f>
        <v>0</v>
      </c>
      <c r="AM10" s="206">
        <f>IF($Z10="",0,IF($U10="",0,$U10))</f>
        <v>0</v>
      </c>
      <c r="AN10" s="303"/>
    </row>
    <row r="11" spans="1:40" ht="17.25" customHeight="1">
      <c r="A11" s="304">
        <v>9</v>
      </c>
      <c r="B11" s="305"/>
      <c r="C11" s="306"/>
      <c r="D11" s="307" t="s">
        <v>324</v>
      </c>
      <c r="E11" s="307"/>
      <c r="F11" s="304" t="s">
        <v>319</v>
      </c>
      <c r="G11" s="304"/>
      <c r="H11" s="304"/>
      <c r="I11" s="304"/>
      <c r="J11" s="304"/>
      <c r="K11" s="304"/>
      <c r="L11" s="304"/>
      <c r="M11" s="304"/>
      <c r="N11" s="304"/>
      <c r="O11" s="308"/>
      <c r="P11" s="16">
        <v>13</v>
      </c>
      <c r="Q11" s="309">
        <v>3</v>
      </c>
      <c r="R11" s="304"/>
      <c r="S11" s="304">
        <v>1</v>
      </c>
      <c r="T11" s="304"/>
      <c r="U11" s="304"/>
      <c r="V11" s="310">
        <f t="shared" si="0"/>
        <v>17</v>
      </c>
      <c r="W11" s="311">
        <f t="shared" si="1"/>
        <v>8.5</v>
      </c>
      <c r="X11" s="311">
        <f t="shared" si="2"/>
        <v>21.25</v>
      </c>
      <c r="Y11" s="128">
        <f t="shared" si="3"/>
        <v>16.291666666666668</v>
      </c>
      <c r="Z11" s="207">
        <f t="shared" si="4"/>
        <v>8.1458333333333339</v>
      </c>
      <c r="AA11" s="184"/>
      <c r="AB11" s="184"/>
      <c r="AC11" s="184"/>
      <c r="AD11" s="185"/>
      <c r="AE11" s="206">
        <f>IF($Z11="",0,IF($M11="",0,$M11))</f>
        <v>0</v>
      </c>
      <c r="AF11" s="206">
        <f>IF(OR($Z11="",$N11=""),0,$Z11*5%)</f>
        <v>0</v>
      </c>
      <c r="AG11" s="206">
        <f>IF(OR($Z11="",$O11=""),0,$Z11*10%)</f>
        <v>0</v>
      </c>
      <c r="AH11" s="206">
        <f>IF($Z11="",0,IF(AND($P11="",$Q11=""),($Z11-$AE11-$AF11-$AG11-$AJ11-$AK11-$AL11-$AM11),IF($P11="",0,IF($Q11="",($Z11-$AE11-$AF11-$AG11-$AJ11-$AK11-$AL11-$AM11),($Z11-$AE11-$AF11-$AG11-$AJ11-$AK11-$AL11-$AM11)-$AI11))))</f>
        <v>5.6394230769230775</v>
      </c>
      <c r="AI11" s="206">
        <f>IF($Z11="",0,IF(AND($P11="",$Q11=""),0,IF($Q11="",0,IF($P11="",($Z11-$AE11-$AF11-$AG11-$AJ11-$AK11-$AL11-$AM11),($Z11-$AE11-$AF11-$AG11-$AJ11-$AK11-$AL11-$AM11)*15%/(50%+15%)))))</f>
        <v>1.6918269230769232</v>
      </c>
      <c r="AJ11" s="206">
        <f>IF($Z11="",0,IF($R11="",0,$R11))</f>
        <v>0</v>
      </c>
      <c r="AK11" s="206">
        <f>IF(OR($Z11="",$S11=""),0,$Z11*10%)</f>
        <v>0.81458333333333344</v>
      </c>
      <c r="AL11" s="206">
        <f>IF(OR($Z11="",$T11=""),0,$Z11*10%)</f>
        <v>0</v>
      </c>
      <c r="AM11" s="206">
        <f>IF($Z11="",0,IF($U11="",0,$U11))</f>
        <v>0</v>
      </c>
      <c r="AN11" s="303"/>
    </row>
    <row r="12" spans="1:40" ht="17.25" customHeight="1">
      <c r="A12" s="304">
        <v>10</v>
      </c>
      <c r="B12" s="305"/>
      <c r="C12" s="306"/>
      <c r="D12" s="307" t="s">
        <v>325</v>
      </c>
      <c r="E12" s="307"/>
      <c r="F12" s="304" t="s">
        <v>63</v>
      </c>
      <c r="G12" s="304"/>
      <c r="H12" s="304"/>
      <c r="I12" s="304"/>
      <c r="J12" s="304"/>
      <c r="K12" s="304"/>
      <c r="L12" s="304"/>
      <c r="M12" s="304"/>
      <c r="N12" s="304"/>
      <c r="O12" s="308"/>
      <c r="P12" s="16">
        <v>10</v>
      </c>
      <c r="Q12" s="309">
        <v>3</v>
      </c>
      <c r="R12" s="304"/>
      <c r="S12" s="304">
        <v>2</v>
      </c>
      <c r="T12" s="304"/>
      <c r="U12" s="304"/>
      <c r="V12" s="310">
        <f t="shared" si="0"/>
        <v>15</v>
      </c>
      <c r="W12" s="311">
        <f t="shared" si="1"/>
        <v>7.5</v>
      </c>
      <c r="X12" s="311">
        <f t="shared" si="2"/>
        <v>18.75</v>
      </c>
      <c r="Y12" s="128">
        <f t="shared" si="3"/>
        <v>14.375</v>
      </c>
      <c r="Z12" s="207">
        <f t="shared" si="4"/>
        <v>7.1875</v>
      </c>
      <c r="AA12" s="184"/>
      <c r="AB12" s="184"/>
      <c r="AC12" s="184"/>
      <c r="AD12" s="185"/>
      <c r="AE12" s="206">
        <f>IF($Z12="",0,IF($M12="",0,$M12))</f>
        <v>0</v>
      </c>
      <c r="AF12" s="206">
        <f>IF(OR($Z12="",$N12=""),0,$Z12*5%)</f>
        <v>0</v>
      </c>
      <c r="AG12" s="206">
        <f>IF(OR($Z12="",$O12=""),0,$Z12*10%)</f>
        <v>0</v>
      </c>
      <c r="AH12" s="206">
        <f>IF($Z12="",0,IF(AND($P12="",$Q12=""),($Z12-$AE12-$AF12-$AG12-$AJ12-$AK12-$AL12-$AM12),IF($P12="",0,IF($Q12="",($Z12-$AE12-$AF12-$AG12-$AJ12-$AK12-$AL12-$AM12),($Z12-$AE12-$AF12-$AG12-$AJ12-$AK12-$AL12-$AM12)-$AI12))))</f>
        <v>4.9759615384615383</v>
      </c>
      <c r="AI12" s="206">
        <f>IF($Z12="",0,IF(AND($P12="",$Q12=""),0,IF($Q12="",0,IF($P12="",($Z12-$AE12-$AF12-$AG12-$AJ12-$AK12-$AL12-$AM12),($Z12-$AE12-$AF12-$AG12-$AJ12-$AK12-$AL12-$AM12)*15%/(50%+15%)))))</f>
        <v>1.4927884615384615</v>
      </c>
      <c r="AJ12" s="206">
        <f>IF($Z12="",0,IF($R12="",0,$R12))</f>
        <v>0</v>
      </c>
      <c r="AK12" s="206">
        <f>IF(OR($Z12="",$S12=""),0,$Z12*10%)</f>
        <v>0.71875</v>
      </c>
      <c r="AL12" s="206">
        <f>IF(OR($Z12="",$T12=""),0,$Z12*10%)</f>
        <v>0</v>
      </c>
      <c r="AM12" s="206">
        <f>IF($Z12="",0,IF($U12="",0,$U12))</f>
        <v>0</v>
      </c>
      <c r="AN12" s="303"/>
    </row>
    <row r="13" spans="1:40" ht="17.25" customHeight="1">
      <c r="A13" s="304">
        <v>11</v>
      </c>
      <c r="B13" s="305"/>
      <c r="C13" s="306"/>
      <c r="D13" s="307" t="s">
        <v>326</v>
      </c>
      <c r="E13" s="237" t="s">
        <v>327</v>
      </c>
      <c r="F13" s="304" t="s">
        <v>317</v>
      </c>
      <c r="G13" s="304"/>
      <c r="H13" s="304"/>
      <c r="I13" s="304"/>
      <c r="J13" s="304"/>
      <c r="K13" s="304"/>
      <c r="L13" s="304"/>
      <c r="M13" s="304"/>
      <c r="N13" s="304">
        <v>1</v>
      </c>
      <c r="O13" s="308">
        <v>1</v>
      </c>
      <c r="P13" s="16">
        <v>15</v>
      </c>
      <c r="Q13" s="309">
        <v>7</v>
      </c>
      <c r="R13" s="304"/>
      <c r="S13" s="304">
        <v>1</v>
      </c>
      <c r="T13" s="304"/>
      <c r="U13" s="304">
        <v>1</v>
      </c>
      <c r="V13" s="310">
        <f t="shared" si="0"/>
        <v>26</v>
      </c>
      <c r="W13" s="313">
        <f t="shared" si="1"/>
        <v>13</v>
      </c>
      <c r="X13" s="313">
        <f t="shared" si="2"/>
        <v>32.5</v>
      </c>
      <c r="Y13" s="215">
        <f t="shared" si="3"/>
        <v>24.916666666666668</v>
      </c>
      <c r="Z13" s="216">
        <f t="shared" si="4"/>
        <v>12.458333333333334</v>
      </c>
      <c r="AA13" s="217">
        <v>46113</v>
      </c>
      <c r="AB13" s="217">
        <v>46120</v>
      </c>
      <c r="AC13" s="218">
        <v>46121</v>
      </c>
      <c r="AD13" s="229">
        <v>46139</v>
      </c>
      <c r="AE13" s="206">
        <f>IF($Z13="",0,IF($M13="",0,$M13))</f>
        <v>0</v>
      </c>
      <c r="AF13" s="206">
        <f>IF(OR($Z13="",$N13=""),0,$Z13*5%)</f>
        <v>0.62291666666666679</v>
      </c>
      <c r="AG13" s="206">
        <f>IF(OR($Z13="",$O13=""),0,$Z13*10%)</f>
        <v>1.2458333333333336</v>
      </c>
      <c r="AH13" s="206">
        <f>IF($Z13="",0,IF(AND($P13="",$Q13=""),($Z13-$AE13-$AF13-$AG13-$AJ13-$AK13-$AL13-$AM13),IF($P13="",0,IF($Q13="",($Z13-$AE13-$AF13-$AG13-$AJ13-$AK13-$AL13-$AM13),($Z13-$AE13-$AF13-$AG13-$AJ13-$AK13-$AL13-$AM13)-$AI13))))</f>
        <v>6.4182692307692308</v>
      </c>
      <c r="AI13" s="206">
        <f>IF($Z13="",0,IF(AND($P13="",$Q13=""),0,IF($Q13="",0,IF($P13="",($Z13-$AE13-$AF13-$AG13-$AJ13-$AK13-$AL13-$AM13),($Z13-$AE13-$AF13-$AG13-$AJ13-$AK13-$AL13-$AM13)*15%/(50%+15%)))))</f>
        <v>1.9254807692307689</v>
      </c>
      <c r="AJ13" s="206">
        <f>IF($Z13="",0,IF($R13="",0,$R13))</f>
        <v>0</v>
      </c>
      <c r="AK13" s="206">
        <f>IF(OR($Z13="",$S13=""),0,$Z13*10%)</f>
        <v>1.2458333333333336</v>
      </c>
      <c r="AL13" s="206">
        <f>IF(OR($Z13="",$T13=""),0,$Z13*10%)</f>
        <v>0</v>
      </c>
      <c r="AM13" s="206">
        <f>IF($Z13="",0,IF($U13="",0,$U13))</f>
        <v>1</v>
      </c>
      <c r="AN13" s="303"/>
    </row>
    <row r="14" spans="1:40" ht="17.25" customHeight="1">
      <c r="A14" s="304">
        <v>12</v>
      </c>
      <c r="B14" s="305"/>
      <c r="C14" s="306"/>
      <c r="D14" s="307" t="s">
        <v>328</v>
      </c>
      <c r="E14" s="237" t="s">
        <v>329</v>
      </c>
      <c r="F14" s="304" t="s">
        <v>154</v>
      </c>
      <c r="G14" s="304"/>
      <c r="H14" s="304"/>
      <c r="I14" s="304"/>
      <c r="J14" s="304"/>
      <c r="K14" s="304"/>
      <c r="L14" s="304"/>
      <c r="M14" s="304"/>
      <c r="N14" s="304">
        <v>1</v>
      </c>
      <c r="O14" s="308">
        <v>2</v>
      </c>
      <c r="P14" s="16">
        <v>13</v>
      </c>
      <c r="Q14" s="309">
        <v>3</v>
      </c>
      <c r="R14" s="304"/>
      <c r="S14" s="304">
        <v>2</v>
      </c>
      <c r="T14" s="304"/>
      <c r="U14" s="304">
        <v>1</v>
      </c>
      <c r="V14" s="310">
        <f t="shared" si="0"/>
        <v>22</v>
      </c>
      <c r="W14" s="313">
        <f t="shared" si="1"/>
        <v>11</v>
      </c>
      <c r="X14" s="313">
        <f t="shared" si="2"/>
        <v>27.5</v>
      </c>
      <c r="Y14" s="215">
        <f t="shared" si="3"/>
        <v>21.083333333333332</v>
      </c>
      <c r="Z14" s="216">
        <f t="shared" si="4"/>
        <v>10.541666666666666</v>
      </c>
      <c r="AA14" s="217">
        <v>46121</v>
      </c>
      <c r="AB14" s="217">
        <v>46125</v>
      </c>
      <c r="AC14" s="218">
        <v>46126</v>
      </c>
      <c r="AD14" s="229">
        <v>46139</v>
      </c>
      <c r="AE14" s="206">
        <f>IF($Z14="",0,IF($M14="",0,$M14))</f>
        <v>0</v>
      </c>
      <c r="AF14" s="206">
        <f>IF(OR($Z14="",$N14=""),0,$Z14*5%)</f>
        <v>0.52708333333333335</v>
      </c>
      <c r="AG14" s="206">
        <f>IF(OR($Z14="",$O14=""),0,$Z14*10%)</f>
        <v>1.0541666666666667</v>
      </c>
      <c r="AH14" s="206">
        <f>IF($Z14="",0,IF(AND($P14="",$Q14=""),($Z14-$AE14-$AF14-$AG14-$AJ14-$AK14-$AL14-$AM14),IF($P14="",0,IF($Q14="",($Z14-$AE14-$AF14-$AG14-$AJ14-$AK14-$AL14-$AM14),($Z14-$AE14-$AF14-$AG14-$AJ14-$AK14-$AL14-$AM14)-$AI14))))</f>
        <v>5.3124999999999982</v>
      </c>
      <c r="AI14" s="206">
        <f>IF($Z14="",0,IF(AND($P14="",$Q14=""),0,IF($Q14="",0,IF($P14="",($Z14-$AE14-$AF14-$AG14-$AJ14-$AK14-$AL14-$AM14),($Z14-$AE14-$AF14-$AG14-$AJ14-$AK14-$AL14-$AM14)*15%/(50%+15%)))))</f>
        <v>1.5937499999999996</v>
      </c>
      <c r="AJ14" s="206">
        <f>IF($Z14="",0,IF($R14="",0,$R14))</f>
        <v>0</v>
      </c>
      <c r="AK14" s="206">
        <f>IF(OR($Z14="",$S14=""),0,$Z14*10%)</f>
        <v>1.0541666666666667</v>
      </c>
      <c r="AL14" s="206">
        <f>IF(OR($Z14="",$T14=""),0,$Z14*10%)</f>
        <v>0</v>
      </c>
      <c r="AM14" s="206">
        <f>IF($Z14="",0,IF($U14="",0,$U14))</f>
        <v>1</v>
      </c>
      <c r="AN14" s="303"/>
    </row>
    <row r="15" spans="1:40" ht="17.25" customHeight="1">
      <c r="A15" s="304">
        <v>13</v>
      </c>
      <c r="B15" s="305"/>
      <c r="C15" s="314" t="s">
        <v>330</v>
      </c>
      <c r="D15" s="307" t="s">
        <v>331</v>
      </c>
      <c r="E15" s="307"/>
      <c r="F15" s="304" t="s">
        <v>319</v>
      </c>
      <c r="G15" s="304"/>
      <c r="H15" s="304"/>
      <c r="I15" s="304"/>
      <c r="J15" s="304"/>
      <c r="K15" s="304"/>
      <c r="L15" s="304"/>
      <c r="M15" s="304"/>
      <c r="N15" s="304">
        <v>2</v>
      </c>
      <c r="O15" s="308">
        <v>3</v>
      </c>
      <c r="P15" s="16">
        <v>25</v>
      </c>
      <c r="Q15" s="309">
        <v>5</v>
      </c>
      <c r="R15" s="304"/>
      <c r="S15" s="304">
        <v>3</v>
      </c>
      <c r="T15" s="304"/>
      <c r="U15" s="304"/>
      <c r="V15" s="310">
        <f t="shared" si="0"/>
        <v>38</v>
      </c>
      <c r="W15" s="311">
        <f t="shared" si="1"/>
        <v>19</v>
      </c>
      <c r="X15" s="311">
        <f t="shared" si="2"/>
        <v>47.5</v>
      </c>
      <c r="Y15" s="128">
        <f t="shared" si="3"/>
        <v>36.416666666666664</v>
      </c>
      <c r="Z15" s="207">
        <f t="shared" si="4"/>
        <v>18.208333333333332</v>
      </c>
      <c r="AA15" s="184"/>
      <c r="AB15" s="184"/>
      <c r="AC15" s="184"/>
      <c r="AD15" s="185"/>
      <c r="AE15" s="206">
        <f>IF($Z15="",0,IF($M15="",0,$M15))</f>
        <v>0</v>
      </c>
      <c r="AF15" s="206">
        <f>IF(OR($Z15="",$N15=""),0,$Z15*5%)</f>
        <v>0.91041666666666665</v>
      </c>
      <c r="AG15" s="206">
        <f>IF(OR($Z15="",$O15=""),0,$Z15*10%)</f>
        <v>1.8208333333333333</v>
      </c>
      <c r="AH15" s="206">
        <f>IF($Z15="",0,IF(AND($P15="",$Q15=""),($Z15-$AE15-$AF15-$AG15-$AJ15-$AK15-$AL15-$AM15),IF($P15="",0,IF($Q15="",($Z15-$AE15-$AF15-$AG15-$AJ15-$AK15-$AL15-$AM15),($Z15-$AE15-$AF15-$AG15-$AJ15-$AK15-$AL15-$AM15)-$AI15))))</f>
        <v>10.504807692307693</v>
      </c>
      <c r="AI15" s="206">
        <f>IF($Z15="",0,IF(AND($P15="",$Q15=""),0,IF($Q15="",0,IF($P15="",($Z15-$AE15-$AF15-$AG15-$AJ15-$AK15-$AL15-$AM15),($Z15-$AE15-$AF15-$AG15-$AJ15-$AK15-$AL15-$AM15)*15%/(50%+15%)))))</f>
        <v>3.1514423076923075</v>
      </c>
      <c r="AJ15" s="206">
        <f>IF($Z15="",0,IF($R15="",0,$R15))</f>
        <v>0</v>
      </c>
      <c r="AK15" s="206">
        <f>IF(OR($Z15="",$S15=""),0,$Z15*10%)</f>
        <v>1.8208333333333333</v>
      </c>
      <c r="AL15" s="206">
        <f>IF(OR($Z15="",$T15=""),0,$Z15*10%)</f>
        <v>0</v>
      </c>
      <c r="AM15" s="206">
        <f>IF($Z15="",0,IF($U15="",0,$U15))</f>
        <v>0</v>
      </c>
      <c r="AN15" s="303"/>
    </row>
    <row r="16" spans="1:40" ht="17.25" customHeight="1">
      <c r="A16" s="304">
        <v>14</v>
      </c>
      <c r="B16" s="305"/>
      <c r="C16" s="314" t="s">
        <v>332</v>
      </c>
      <c r="D16" s="307" t="s">
        <v>333</v>
      </c>
      <c r="E16" s="307"/>
      <c r="F16" s="304" t="s">
        <v>319</v>
      </c>
      <c r="G16" s="304"/>
      <c r="H16" s="304"/>
      <c r="I16" s="304"/>
      <c r="J16" s="304"/>
      <c r="K16" s="304"/>
      <c r="L16" s="304"/>
      <c r="M16" s="304"/>
      <c r="N16" s="304">
        <v>2</v>
      </c>
      <c r="O16" s="308">
        <v>3</v>
      </c>
      <c r="P16" s="16">
        <v>25</v>
      </c>
      <c r="Q16" s="309">
        <v>5</v>
      </c>
      <c r="R16" s="304"/>
      <c r="S16" s="304">
        <v>3</v>
      </c>
      <c r="T16" s="304"/>
      <c r="U16" s="304"/>
      <c r="V16" s="310">
        <f t="shared" si="0"/>
        <v>38</v>
      </c>
      <c r="W16" s="311">
        <f t="shared" si="1"/>
        <v>19</v>
      </c>
      <c r="X16" s="311">
        <f t="shared" si="2"/>
        <v>47.5</v>
      </c>
      <c r="Y16" s="128">
        <f t="shared" si="3"/>
        <v>36.416666666666664</v>
      </c>
      <c r="Z16" s="207">
        <f t="shared" si="4"/>
        <v>18.208333333333332</v>
      </c>
      <c r="AA16" s="184"/>
      <c r="AB16" s="184"/>
      <c r="AC16" s="184"/>
      <c r="AD16" s="185"/>
      <c r="AE16" s="206">
        <f>IF($Z16="",0,IF($M16="",0,$M16))</f>
        <v>0</v>
      </c>
      <c r="AF16" s="206">
        <f>IF(OR($Z16="",$N16=""),0,$Z16*5%)</f>
        <v>0.91041666666666665</v>
      </c>
      <c r="AG16" s="206">
        <f>IF(OR($Z16="",$O16=""),0,$Z16*10%)</f>
        <v>1.8208333333333333</v>
      </c>
      <c r="AH16" s="206">
        <f>IF($Z16="",0,IF(AND($P16="",$Q16=""),($Z16-$AE16-$AF16-$AG16-$AJ16-$AK16-$AL16-$AM16),IF($P16="",0,IF($Q16="",($Z16-$AE16-$AF16-$AG16-$AJ16-$AK16-$AL16-$AM16),($Z16-$AE16-$AF16-$AG16-$AJ16-$AK16-$AL16-$AM16)-$AI16))))</f>
        <v>10.504807692307693</v>
      </c>
      <c r="AI16" s="206">
        <f>IF($Z16="",0,IF(AND($P16="",$Q16=""),0,IF($Q16="",0,IF($P16="",($Z16-$AE16-$AF16-$AG16-$AJ16-$AK16-$AL16-$AM16),($Z16-$AE16-$AF16-$AG16-$AJ16-$AK16-$AL16-$AM16)*15%/(50%+15%)))))</f>
        <v>3.1514423076923075</v>
      </c>
      <c r="AJ16" s="206">
        <f>IF($Z16="",0,IF($R16="",0,$R16))</f>
        <v>0</v>
      </c>
      <c r="AK16" s="206">
        <f>IF(OR($Z16="",$S16=""),0,$Z16*10%)</f>
        <v>1.8208333333333333</v>
      </c>
      <c r="AL16" s="206">
        <f>IF(OR($Z16="",$T16=""),0,$Z16*10%)</f>
        <v>0</v>
      </c>
      <c r="AM16" s="206">
        <f>IF($Z16="",0,IF($U16="",0,$U16))</f>
        <v>0</v>
      </c>
      <c r="AN16" s="303"/>
    </row>
    <row r="17" spans="1:40" ht="17.25" customHeight="1">
      <c r="A17" s="304">
        <v>15</v>
      </c>
      <c r="B17" s="305"/>
      <c r="C17" s="314" t="s">
        <v>334</v>
      </c>
      <c r="D17" s="307" t="s">
        <v>335</v>
      </c>
      <c r="E17" s="307"/>
      <c r="F17" s="304" t="s">
        <v>319</v>
      </c>
      <c r="G17" s="304"/>
      <c r="H17" s="304"/>
      <c r="I17" s="304"/>
      <c r="J17" s="304"/>
      <c r="K17" s="304"/>
      <c r="L17" s="304"/>
      <c r="M17" s="304"/>
      <c r="N17" s="304">
        <v>2</v>
      </c>
      <c r="O17" s="308">
        <v>3</v>
      </c>
      <c r="P17" s="16">
        <v>20</v>
      </c>
      <c r="Q17" s="309">
        <v>5</v>
      </c>
      <c r="R17" s="304"/>
      <c r="S17" s="304">
        <v>3</v>
      </c>
      <c r="T17" s="304"/>
      <c r="U17" s="304"/>
      <c r="V17" s="310">
        <f t="shared" si="0"/>
        <v>33</v>
      </c>
      <c r="W17" s="311">
        <f t="shared" si="1"/>
        <v>16.5</v>
      </c>
      <c r="X17" s="311">
        <f t="shared" si="2"/>
        <v>41.25</v>
      </c>
      <c r="Y17" s="128">
        <f t="shared" si="3"/>
        <v>31.625</v>
      </c>
      <c r="Z17" s="207">
        <f t="shared" si="4"/>
        <v>15.8125</v>
      </c>
      <c r="AA17" s="184"/>
      <c r="AB17" s="184"/>
      <c r="AC17" s="184"/>
      <c r="AD17" s="185"/>
      <c r="AE17" s="206">
        <f>IF($Z17="",0,IF($M17="",0,$M17))</f>
        <v>0</v>
      </c>
      <c r="AF17" s="206">
        <f>IF(OR($Z17="",$N17=""),0,$Z17*5%)</f>
        <v>0.79062500000000002</v>
      </c>
      <c r="AG17" s="206">
        <f>IF(OR($Z17="",$O17=""),0,$Z17*10%)</f>
        <v>1.58125</v>
      </c>
      <c r="AH17" s="206">
        <f>IF($Z17="",0,IF(AND($P17="",$Q17=""),($Z17-$AE17-$AF17-$AG17-$AJ17-$AK17-$AL17-$AM17),IF($P17="",0,IF($Q17="",($Z17-$AE17-$AF17-$AG17-$AJ17-$AK17-$AL17-$AM17),($Z17-$AE17-$AF17-$AG17-$AJ17-$AK17-$AL17-$AM17)-$AI17))))</f>
        <v>9.1225961538461533</v>
      </c>
      <c r="AI17" s="206">
        <f>IF($Z17="",0,IF(AND($P17="",$Q17=""),0,IF($Q17="",0,IF($P17="",($Z17-$AE17-$AF17-$AG17-$AJ17-$AK17-$AL17-$AM17),($Z17-$AE17-$AF17-$AG17-$AJ17-$AK17-$AL17-$AM17)*15%/(50%+15%)))))</f>
        <v>2.7367788461538454</v>
      </c>
      <c r="AJ17" s="206">
        <f>IF($Z17="",0,IF($R17="",0,$R17))</f>
        <v>0</v>
      </c>
      <c r="AK17" s="206">
        <f>IF(OR($Z17="",$S17=""),0,$Z17*10%)</f>
        <v>1.58125</v>
      </c>
      <c r="AL17" s="206">
        <f>IF(OR($Z17="",$T17=""),0,$Z17*10%)</f>
        <v>0</v>
      </c>
      <c r="AM17" s="206">
        <f>IF($Z17="",0,IF($U17="",0,$U17))</f>
        <v>0</v>
      </c>
      <c r="AN17" s="303"/>
    </row>
    <row r="18" spans="1:40" ht="17.25" customHeight="1">
      <c r="A18" s="304">
        <v>16</v>
      </c>
      <c r="B18" s="305" t="s">
        <v>83</v>
      </c>
      <c r="C18" s="315" t="s">
        <v>336</v>
      </c>
      <c r="D18" s="130" t="s">
        <v>337</v>
      </c>
      <c r="E18" s="130"/>
      <c r="F18" s="304" t="s">
        <v>154</v>
      </c>
      <c r="G18" s="304"/>
      <c r="H18" s="304"/>
      <c r="I18" s="304"/>
      <c r="J18" s="304"/>
      <c r="K18" s="304"/>
      <c r="L18" s="304"/>
      <c r="M18" s="304"/>
      <c r="N18" s="304">
        <v>1</v>
      </c>
      <c r="O18" s="308">
        <v>2</v>
      </c>
      <c r="P18" s="16">
        <v>33</v>
      </c>
      <c r="Q18" s="309">
        <v>2</v>
      </c>
      <c r="R18" s="304"/>
      <c r="S18" s="304">
        <v>3</v>
      </c>
      <c r="T18" s="304">
        <v>3</v>
      </c>
      <c r="U18" s="304">
        <v>1</v>
      </c>
      <c r="V18" s="310">
        <f t="shared" si="0"/>
        <v>45</v>
      </c>
      <c r="W18" s="311">
        <f t="shared" si="1"/>
        <v>22.5</v>
      </c>
      <c r="X18" s="311">
        <f t="shared" si="2"/>
        <v>56.25</v>
      </c>
      <c r="Y18" s="128">
        <f t="shared" si="3"/>
        <v>43.125</v>
      </c>
      <c r="Z18" s="207">
        <f t="shared" si="4"/>
        <v>21.5625</v>
      </c>
      <c r="AA18" s="184"/>
      <c r="AB18" s="184"/>
      <c r="AC18" s="184"/>
      <c r="AD18" s="185"/>
      <c r="AE18" s="206">
        <f>IF($Z18="",0,IF($M18="",0,$M18))</f>
        <v>0</v>
      </c>
      <c r="AF18" s="206">
        <f>IF(OR($Z18="",$N18=""),0,$Z18*5%)</f>
        <v>1.078125</v>
      </c>
      <c r="AG18" s="206">
        <f>IF(OR($Z18="",$O18=""),0,$Z18*10%)</f>
        <v>2.15625</v>
      </c>
      <c r="AH18" s="206">
        <f>IF($Z18="",0,IF(AND($P18="",$Q18=""),($Z18-$AE18-$AF18-$AG18-$AJ18-$AK18-$AL18-$AM18),IF($P18="",0,IF($Q18="",($Z18-$AE18-$AF18-$AG18-$AJ18-$AK18-$AL18-$AM18),($Z18-$AE18-$AF18-$AG18-$AJ18-$AK18-$AL18-$AM18)-$AI18))))</f>
        <v>10.012019230769232</v>
      </c>
      <c r="AI18" s="206">
        <f>IF($Z18="",0,IF(AND($P18="",$Q18=""),0,IF($Q18="",0,IF($P18="",($Z18-$AE18-$AF18-$AG18-$AJ18-$AK18-$AL18-$AM18),($Z18-$AE18-$AF18-$AG18-$AJ18-$AK18-$AL18-$AM18)*15%/(50%+15%)))))</f>
        <v>3.0036057692307687</v>
      </c>
      <c r="AJ18" s="206">
        <f>IF($Z18="",0,IF($R18="",0,$R18))</f>
        <v>0</v>
      </c>
      <c r="AK18" s="206">
        <f>IF(OR($Z18="",$S18=""),0,$Z18*10%)</f>
        <v>2.15625</v>
      </c>
      <c r="AL18" s="206">
        <f>IF(OR($Z18="",$T18=""),0,$Z18*10%)</f>
        <v>2.15625</v>
      </c>
      <c r="AM18" s="206">
        <f>IF($Z18="",0,IF($U18="",0,$U18))</f>
        <v>1</v>
      </c>
      <c r="AN18" s="303"/>
    </row>
    <row r="19" spans="1:40" ht="17.25" customHeight="1">
      <c r="A19" s="304">
        <v>17</v>
      </c>
      <c r="B19" s="305"/>
      <c r="C19" s="315" t="s">
        <v>338</v>
      </c>
      <c r="D19" s="130" t="s">
        <v>339</v>
      </c>
      <c r="E19" s="130"/>
      <c r="F19" s="304" t="s">
        <v>154</v>
      </c>
      <c r="G19" s="304"/>
      <c r="H19" s="304"/>
      <c r="I19" s="304"/>
      <c r="J19" s="304"/>
      <c r="K19" s="304"/>
      <c r="L19" s="304"/>
      <c r="M19" s="304"/>
      <c r="N19" s="304">
        <v>1</v>
      </c>
      <c r="O19" s="308">
        <v>2</v>
      </c>
      <c r="P19" s="16">
        <v>17</v>
      </c>
      <c r="Q19" s="309">
        <v>2</v>
      </c>
      <c r="R19" s="304"/>
      <c r="S19" s="304">
        <v>3</v>
      </c>
      <c r="T19" s="304">
        <v>3</v>
      </c>
      <c r="U19" s="304">
        <v>1</v>
      </c>
      <c r="V19" s="310">
        <f t="shared" si="0"/>
        <v>29</v>
      </c>
      <c r="W19" s="311">
        <f t="shared" si="1"/>
        <v>14.5</v>
      </c>
      <c r="X19" s="311">
        <f t="shared" si="2"/>
        <v>36.25</v>
      </c>
      <c r="Y19" s="128">
        <f t="shared" si="3"/>
        <v>27.791666666666668</v>
      </c>
      <c r="Z19" s="207">
        <f t="shared" si="4"/>
        <v>13.895833333333334</v>
      </c>
      <c r="AA19" s="184"/>
      <c r="AB19" s="184"/>
      <c r="AC19" s="184"/>
      <c r="AD19" s="185"/>
      <c r="AE19" s="206">
        <f>IF($Z19="",0,IF($M19="",0,$M19))</f>
        <v>0</v>
      </c>
      <c r="AF19" s="206">
        <f>IF(OR($Z19="",$N19=""),0,$Z19*5%)</f>
        <v>0.6947916666666667</v>
      </c>
      <c r="AG19" s="206">
        <f>IF(OR($Z19="",$O19=""),0,$Z19*10%)</f>
        <v>1.3895833333333334</v>
      </c>
      <c r="AH19" s="206">
        <f>IF($Z19="",0,IF(AND($P19="",$Q19=""),($Z19-$AE19-$AF19-$AG19-$AJ19-$AK19-$AL19-$AM19),IF($P19="",0,IF($Q19="",($Z19-$AE19-$AF19-$AG19-$AJ19-$AK19-$AL19-$AM19),($Z19-$AE19-$AF19-$AG19-$AJ19-$AK19-$AL19-$AM19)-$AI19))))</f>
        <v>6.1786858974358969</v>
      </c>
      <c r="AI19" s="206">
        <f>IF($Z19="",0,IF(AND($P19="",$Q19=""),0,IF($Q19="",0,IF($P19="",($Z19-$AE19-$AF19-$AG19-$AJ19-$AK19-$AL19-$AM19),($Z19-$AE19-$AF19-$AG19-$AJ19-$AK19-$AL19-$AM19)*15%/(50%+15%)))))</f>
        <v>1.8536057692307688</v>
      </c>
      <c r="AJ19" s="206">
        <f>IF($Z19="",0,IF($R19="",0,$R19))</f>
        <v>0</v>
      </c>
      <c r="AK19" s="206">
        <f>IF(OR($Z19="",$S19=""),0,$Z19*10%)</f>
        <v>1.3895833333333334</v>
      </c>
      <c r="AL19" s="206">
        <f>IF(OR($Z19="",$T19=""),0,$Z19*10%)</f>
        <v>1.3895833333333334</v>
      </c>
      <c r="AM19" s="206">
        <f>IF($Z19="",0,IF($U19="",0,$U19))</f>
        <v>1</v>
      </c>
      <c r="AN19" s="303"/>
    </row>
    <row r="20" spans="1:40" ht="17.25" customHeight="1">
      <c r="A20" s="304">
        <v>18</v>
      </c>
      <c r="B20" s="305"/>
      <c r="C20" s="315" t="s">
        <v>340</v>
      </c>
      <c r="D20" s="204" t="s">
        <v>341</v>
      </c>
      <c r="E20" s="204"/>
      <c r="F20" s="304" t="s">
        <v>317</v>
      </c>
      <c r="G20" s="304"/>
      <c r="H20" s="304"/>
      <c r="I20" s="304"/>
      <c r="J20" s="304"/>
      <c r="K20" s="304"/>
      <c r="L20" s="304"/>
      <c r="M20" s="304"/>
      <c r="N20" s="304">
        <v>1</v>
      </c>
      <c r="O20" s="308">
        <v>1</v>
      </c>
      <c r="P20" s="16">
        <v>11</v>
      </c>
      <c r="Q20" s="309">
        <v>1</v>
      </c>
      <c r="R20" s="304"/>
      <c r="S20" s="304">
        <v>2</v>
      </c>
      <c r="T20" s="304">
        <v>3</v>
      </c>
      <c r="U20" s="304">
        <v>1</v>
      </c>
      <c r="V20" s="310">
        <f t="shared" si="0"/>
        <v>20</v>
      </c>
      <c r="W20" s="311">
        <f t="shared" si="1"/>
        <v>10</v>
      </c>
      <c r="X20" s="311">
        <f t="shared" si="2"/>
        <v>25</v>
      </c>
      <c r="Y20" s="128">
        <f t="shared" si="3"/>
        <v>19.166666666666668</v>
      </c>
      <c r="Z20" s="207">
        <f t="shared" si="4"/>
        <v>9.5833333333333339</v>
      </c>
      <c r="AA20" s="187"/>
      <c r="AB20" s="187"/>
      <c r="AC20" s="190"/>
      <c r="AD20" s="185"/>
      <c r="AE20" s="206">
        <f>IF($Z20="",0,IF($M20="",0,$M20))</f>
        <v>0</v>
      </c>
      <c r="AF20" s="206">
        <f>IF(OR($Z20="",$N20=""),0,$Z20*5%)</f>
        <v>0.47916666666666674</v>
      </c>
      <c r="AG20" s="206">
        <f>IF(OR($Z20="",$O20=""),0,$Z20*10%)</f>
        <v>0.95833333333333348</v>
      </c>
      <c r="AH20" s="206">
        <f>IF($Z20="",0,IF(AND($P20="",$Q20=""),($Z20-$AE20-$AF20-$AG20-$AJ20-$AK20-$AL20-$AM20),IF($P20="",0,IF($Q20="",($Z20-$AE20-$AF20-$AG20-$AJ20-$AK20-$AL20-$AM20),($Z20-$AE20-$AF20-$AG20-$AJ20-$AK20-$AL20-$AM20)-$AI20))))</f>
        <v>4.0224358974358969</v>
      </c>
      <c r="AI20" s="206">
        <f>IF($Z20="",0,IF(AND($P20="",$Q20=""),0,IF($Q20="",0,IF($P20="",($Z20-$AE20-$AF20-$AG20-$AJ20-$AK20-$AL20-$AM20),($Z20-$AE20-$AF20-$AG20-$AJ20-$AK20-$AL20-$AM20)*15%/(50%+15%)))))</f>
        <v>1.2067307692307692</v>
      </c>
      <c r="AJ20" s="206">
        <f>IF($Z20="",0,IF($R20="",0,$R20))</f>
        <v>0</v>
      </c>
      <c r="AK20" s="206">
        <f>IF(OR($Z20="",$S20=""),0,$Z20*10%)</f>
        <v>0.95833333333333348</v>
      </c>
      <c r="AL20" s="206">
        <f>IF(OR($Z20="",$T20=""),0,$Z20*10%)</f>
        <v>0.95833333333333348</v>
      </c>
      <c r="AM20" s="206">
        <f>IF($Z20="",0,IF($U20="",0,$U20))</f>
        <v>1</v>
      </c>
      <c r="AN20" s="303"/>
    </row>
    <row r="21" spans="1:40" ht="17.25" customHeight="1">
      <c r="A21" s="304">
        <v>19</v>
      </c>
      <c r="B21" s="305"/>
      <c r="C21" s="305" t="s">
        <v>342</v>
      </c>
      <c r="D21" s="307" t="s">
        <v>343</v>
      </c>
      <c r="E21" s="307"/>
      <c r="F21" s="304" t="s">
        <v>319</v>
      </c>
      <c r="G21" s="304"/>
      <c r="H21" s="304"/>
      <c r="I21" s="304"/>
      <c r="J21" s="304"/>
      <c r="K21" s="304"/>
      <c r="L21" s="304"/>
      <c r="M21" s="304"/>
      <c r="N21" s="304">
        <v>1</v>
      </c>
      <c r="O21" s="308">
        <v>2</v>
      </c>
      <c r="P21" s="16">
        <v>25</v>
      </c>
      <c r="Q21" s="309">
        <v>3</v>
      </c>
      <c r="R21" s="304"/>
      <c r="S21" s="304">
        <v>2</v>
      </c>
      <c r="T21" s="304"/>
      <c r="U21" s="304"/>
      <c r="V21" s="310">
        <f t="shared" si="0"/>
        <v>33</v>
      </c>
      <c r="W21" s="311">
        <f t="shared" si="1"/>
        <v>16.5</v>
      </c>
      <c r="X21" s="311">
        <f t="shared" si="2"/>
        <v>41.25</v>
      </c>
      <c r="Y21" s="128">
        <f t="shared" si="3"/>
        <v>31.625</v>
      </c>
      <c r="Z21" s="207">
        <f t="shared" si="4"/>
        <v>15.8125</v>
      </c>
      <c r="AA21" s="184"/>
      <c r="AB21" s="184"/>
      <c r="AC21" s="184"/>
      <c r="AD21" s="185"/>
      <c r="AE21" s="206">
        <f>IF($Z21="",0,IF($M21="",0,$M21))</f>
        <v>0</v>
      </c>
      <c r="AF21" s="206">
        <f>IF(OR($Z21="",$N21=""),0,$Z21*5%)</f>
        <v>0.79062500000000002</v>
      </c>
      <c r="AG21" s="206">
        <f>IF(OR($Z21="",$O21=""),0,$Z21*10%)</f>
        <v>1.58125</v>
      </c>
      <c r="AH21" s="206">
        <f>IF($Z21="",0,IF(AND($P21="",$Q21=""),($Z21-$AE21-$AF21-$AG21-$AJ21-$AK21-$AL21-$AM21),IF($P21="",0,IF($Q21="",($Z21-$AE21-$AF21-$AG21-$AJ21-$AK21-$AL21-$AM21),($Z21-$AE21-$AF21-$AG21-$AJ21-$AK21-$AL21-$AM21)-$AI21))))</f>
        <v>9.1225961538461533</v>
      </c>
      <c r="AI21" s="206">
        <f>IF($Z21="",0,IF(AND($P21="",$Q21=""),0,IF($Q21="",0,IF($P21="",($Z21-$AE21-$AF21-$AG21-$AJ21-$AK21-$AL21-$AM21),($Z21-$AE21-$AF21-$AG21-$AJ21-$AK21-$AL21-$AM21)*15%/(50%+15%)))))</f>
        <v>2.7367788461538454</v>
      </c>
      <c r="AJ21" s="206">
        <f>IF($Z21="",0,IF($R21="",0,$R21))</f>
        <v>0</v>
      </c>
      <c r="AK21" s="206">
        <f>IF(OR($Z21="",$S21=""),0,$Z21*10%)</f>
        <v>1.58125</v>
      </c>
      <c r="AL21" s="206">
        <f>IF(OR($Z21="",$T21=""),0,$Z21*10%)</f>
        <v>0</v>
      </c>
      <c r="AM21" s="206">
        <f>IF($Z21="",0,IF($U21="",0,$U21))</f>
        <v>0</v>
      </c>
      <c r="AN21" s="303"/>
    </row>
    <row r="22" spans="1:40" ht="17.25" customHeight="1">
      <c r="A22" s="304">
        <v>20</v>
      </c>
      <c r="B22" s="305"/>
      <c r="C22" s="305"/>
      <c r="D22" s="307" t="s">
        <v>344</v>
      </c>
      <c r="E22" s="237" t="s">
        <v>345</v>
      </c>
      <c r="F22" s="304" t="s">
        <v>317</v>
      </c>
      <c r="G22" s="304"/>
      <c r="H22" s="304"/>
      <c r="I22" s="304"/>
      <c r="J22" s="304"/>
      <c r="K22" s="304"/>
      <c r="L22" s="304"/>
      <c r="M22" s="304"/>
      <c r="N22" s="304">
        <v>1</v>
      </c>
      <c r="O22" s="308">
        <v>2</v>
      </c>
      <c r="P22" s="16">
        <v>25</v>
      </c>
      <c r="Q22" s="309">
        <v>3</v>
      </c>
      <c r="R22" s="304"/>
      <c r="S22" s="304">
        <v>2</v>
      </c>
      <c r="T22" s="304"/>
      <c r="U22" s="304">
        <v>1</v>
      </c>
      <c r="V22" s="310">
        <f t="shared" si="0"/>
        <v>34</v>
      </c>
      <c r="W22" s="313">
        <f t="shared" si="1"/>
        <v>17</v>
      </c>
      <c r="X22" s="313">
        <f t="shared" si="2"/>
        <v>42.5</v>
      </c>
      <c r="Y22" s="215">
        <f t="shared" si="3"/>
        <v>32.583333333333336</v>
      </c>
      <c r="Z22" s="216">
        <f t="shared" si="4"/>
        <v>16.291666666666668</v>
      </c>
      <c r="AA22" s="217">
        <v>46127</v>
      </c>
      <c r="AB22" s="217">
        <v>46132</v>
      </c>
      <c r="AC22" s="218">
        <v>46133</v>
      </c>
      <c r="AD22" s="229">
        <v>46139</v>
      </c>
      <c r="AE22" s="206">
        <f>IF($Z22="",0,IF($M22="",0,$M22))</f>
        <v>0</v>
      </c>
      <c r="AF22" s="206">
        <f>IF(OR($Z22="",$N22=""),0,$Z22*5%)</f>
        <v>0.81458333333333344</v>
      </c>
      <c r="AG22" s="206">
        <f>IF(OR($Z22="",$O22=""),0,$Z22*10%)</f>
        <v>1.6291666666666669</v>
      </c>
      <c r="AH22" s="206">
        <f>IF($Z22="",0,IF(AND($P22="",$Q22=""),($Z22-$AE22-$AF22-$AG22-$AJ22-$AK22-$AL22-$AM22),IF($P22="",0,IF($Q22="",($Z22-$AE22-$AF22-$AG22-$AJ22-$AK22-$AL22-$AM22),($Z22-$AE22-$AF22-$AG22-$AJ22-$AK22-$AL22-$AM22)-$AI22))))</f>
        <v>8.6298076923076934</v>
      </c>
      <c r="AI22" s="206">
        <f>IF($Z22="",0,IF(AND($P22="",$Q22=""),0,IF($Q22="",0,IF($P22="",($Z22-$AE22-$AF22-$AG22-$AJ22-$AK22-$AL22-$AM22),($Z22-$AE22-$AF22-$AG22-$AJ22-$AK22-$AL22-$AM22)*15%/(50%+15%)))))</f>
        <v>2.5889423076923079</v>
      </c>
      <c r="AJ22" s="206">
        <f>IF($Z22="",0,IF($R22="",0,$R22))</f>
        <v>0</v>
      </c>
      <c r="AK22" s="206">
        <f>IF(OR($Z22="",$S22=""),0,$Z22*10%)</f>
        <v>1.6291666666666669</v>
      </c>
      <c r="AL22" s="206">
        <f>IF(OR($Z22="",$T22=""),0,$Z22*10%)</f>
        <v>0</v>
      </c>
      <c r="AM22" s="206">
        <f>IF($Z22="",0,IF($U22="",0,$U22))</f>
        <v>1</v>
      </c>
      <c r="AN22" s="303"/>
    </row>
    <row r="23" spans="1:40" ht="17.25" customHeight="1">
      <c r="A23" s="304">
        <v>21</v>
      </c>
      <c r="B23" s="305"/>
      <c r="C23" s="314" t="s">
        <v>346</v>
      </c>
      <c r="D23" s="307" t="s">
        <v>347</v>
      </c>
      <c r="E23" s="307"/>
      <c r="F23" s="304" t="s">
        <v>348</v>
      </c>
      <c r="G23" s="304"/>
      <c r="H23" s="304"/>
      <c r="I23" s="304"/>
      <c r="J23" s="304"/>
      <c r="K23" s="304"/>
      <c r="L23" s="304"/>
      <c r="M23" s="304"/>
      <c r="N23" s="304">
        <v>2</v>
      </c>
      <c r="O23" s="308">
        <v>3</v>
      </c>
      <c r="P23" s="16">
        <v>50</v>
      </c>
      <c r="Q23" s="309">
        <v>5</v>
      </c>
      <c r="R23" s="304"/>
      <c r="S23" s="304">
        <v>3</v>
      </c>
      <c r="T23" s="304"/>
      <c r="U23" s="304"/>
      <c r="V23" s="310">
        <f t="shared" si="0"/>
        <v>63</v>
      </c>
      <c r="W23" s="311">
        <f t="shared" si="1"/>
        <v>31.5</v>
      </c>
      <c r="X23" s="311">
        <f t="shared" si="2"/>
        <v>78.75</v>
      </c>
      <c r="Y23" s="128">
        <f t="shared" si="3"/>
        <v>60.375</v>
      </c>
      <c r="Z23" s="207">
        <f t="shared" si="4"/>
        <v>30.1875</v>
      </c>
      <c r="AA23" s="184"/>
      <c r="AB23" s="184"/>
      <c r="AC23" s="184"/>
      <c r="AD23" s="185"/>
      <c r="AE23" s="206">
        <f>IF($Z23="",0,IF($M23="",0,$M23))</f>
        <v>0</v>
      </c>
      <c r="AF23" s="206">
        <f>IF(OR($Z23="",$N23=""),0,$Z23*5%)</f>
        <v>1.5093750000000001</v>
      </c>
      <c r="AG23" s="206">
        <f>IF(OR($Z23="",$O23=""),0,$Z23*10%)</f>
        <v>3.0187500000000003</v>
      </c>
      <c r="AH23" s="206">
        <f>IF($Z23="",0,IF(AND($P23="",$Q23=""),($Z23-$AE23-$AF23-$AG23-$AJ23-$AK23-$AL23-$AM23),IF($P23="",0,IF($Q23="",($Z23-$AE23-$AF23-$AG23-$AJ23-$AK23-$AL23-$AM23),($Z23-$AE23-$AF23-$AG23-$AJ23-$AK23-$AL23-$AM23)-$AI23))))</f>
        <v>17.415865384615387</v>
      </c>
      <c r="AI23" s="206">
        <f>IF($Z23="",0,IF(AND($P23="",$Q23=""),0,IF($Q23="",0,IF($P23="",($Z23-$AE23-$AF23-$AG23-$AJ23-$AK23-$AL23-$AM23),($Z23-$AE23-$AF23-$AG23-$AJ23-$AK23-$AL23-$AM23)*15%/(50%+15%)))))</f>
        <v>5.224759615384615</v>
      </c>
      <c r="AJ23" s="206">
        <f>IF($Z23="",0,IF($R23="",0,$R23))</f>
        <v>0</v>
      </c>
      <c r="AK23" s="206">
        <f>IF(OR($Z23="",$S23=""),0,$Z23*10%)</f>
        <v>3.0187500000000003</v>
      </c>
      <c r="AL23" s="206">
        <f>IF(OR($Z23="",$T23=""),0,$Z23*10%)</f>
        <v>0</v>
      </c>
      <c r="AM23" s="206">
        <f>IF($Z23="",0,IF($U23="",0,$U23))</f>
        <v>0</v>
      </c>
      <c r="AN23" s="303"/>
    </row>
    <row r="24" spans="1:40" ht="17.25" customHeight="1">
      <c r="A24" s="304">
        <v>22</v>
      </c>
      <c r="B24" s="305" t="s">
        <v>144</v>
      </c>
      <c r="C24" s="299" t="s">
        <v>349</v>
      </c>
      <c r="D24" s="130" t="s">
        <v>350</v>
      </c>
      <c r="E24" s="130"/>
      <c r="F24" s="304" t="s">
        <v>63</v>
      </c>
      <c r="G24" s="304"/>
      <c r="H24" s="304"/>
      <c r="I24" s="304"/>
      <c r="J24" s="304"/>
      <c r="K24" s="304"/>
      <c r="L24" s="304"/>
      <c r="M24" s="304"/>
      <c r="N24" s="304">
        <v>3</v>
      </c>
      <c r="O24" s="308">
        <v>5</v>
      </c>
      <c r="P24" s="16">
        <v>17</v>
      </c>
      <c r="Q24" s="309">
        <v>5</v>
      </c>
      <c r="R24" s="304"/>
      <c r="S24" s="304">
        <v>3</v>
      </c>
      <c r="T24" s="304"/>
      <c r="U24" s="304"/>
      <c r="V24" s="310">
        <f t="shared" si="0"/>
        <v>33</v>
      </c>
      <c r="W24" s="311">
        <f t="shared" si="1"/>
        <v>16.5</v>
      </c>
      <c r="X24" s="311">
        <f t="shared" si="2"/>
        <v>41.25</v>
      </c>
      <c r="Y24" s="128">
        <f t="shared" si="3"/>
        <v>31.625</v>
      </c>
      <c r="Z24" s="207">
        <f t="shared" si="4"/>
        <v>15.8125</v>
      </c>
      <c r="AA24" s="184"/>
      <c r="AB24" s="184"/>
      <c r="AC24" s="184"/>
      <c r="AD24" s="185"/>
      <c r="AE24" s="206">
        <f>IF($Z24="",0,IF($M24="",0,$M24))</f>
        <v>0</v>
      </c>
      <c r="AF24" s="206">
        <f>IF(OR($Z24="",$N24=""),0,$Z24*5%)</f>
        <v>0.79062500000000002</v>
      </c>
      <c r="AG24" s="206">
        <f>IF(OR($Z24="",$O24=""),0,$Z24*10%)</f>
        <v>1.58125</v>
      </c>
      <c r="AH24" s="206">
        <f>IF($Z24="",0,IF(AND($P24="",$Q24=""),($Z24-$AE24-$AF24-$AG24-$AJ24-$AK24-$AL24-$AM24),IF($P24="",0,IF($Q24="",($Z24-$AE24-$AF24-$AG24-$AJ24-$AK24-$AL24-$AM24),($Z24-$AE24-$AF24-$AG24-$AJ24-$AK24-$AL24-$AM24)-$AI24))))</f>
        <v>9.1225961538461533</v>
      </c>
      <c r="AI24" s="206">
        <f>IF($Z24="",0,IF(AND($P24="",$Q24=""),0,IF($Q24="",0,IF($P24="",($Z24-$AE24-$AF24-$AG24-$AJ24-$AK24-$AL24-$AM24),($Z24-$AE24-$AF24-$AG24-$AJ24-$AK24-$AL24-$AM24)*15%/(50%+15%)))))</f>
        <v>2.7367788461538454</v>
      </c>
      <c r="AJ24" s="206">
        <f>IF($Z24="",0,IF($R24="",0,$R24))</f>
        <v>0</v>
      </c>
      <c r="AK24" s="206">
        <f>IF(OR($Z24="",$S24=""),0,$Z24*10%)</f>
        <v>1.58125</v>
      </c>
      <c r="AL24" s="206">
        <f>IF(OR($Z24="",$T24=""),0,$Z24*10%)</f>
        <v>0</v>
      </c>
      <c r="AM24" s="206">
        <f>IF($Z24="",0,IF($U24="",0,$U24))</f>
        <v>0</v>
      </c>
      <c r="AN24" s="303"/>
    </row>
    <row r="25" spans="1:40" ht="17.25" customHeight="1">
      <c r="A25" s="304">
        <v>23</v>
      </c>
      <c r="B25" s="305"/>
      <c r="C25" s="299"/>
      <c r="D25" s="130" t="s">
        <v>351</v>
      </c>
      <c r="E25" s="237" t="s">
        <v>352</v>
      </c>
      <c r="F25" s="304" t="s">
        <v>63</v>
      </c>
      <c r="G25" s="304"/>
      <c r="H25" s="304"/>
      <c r="I25" s="304"/>
      <c r="J25" s="304"/>
      <c r="K25" s="304"/>
      <c r="L25" s="304"/>
      <c r="M25" s="304"/>
      <c r="N25" s="304">
        <v>1</v>
      </c>
      <c r="O25" s="308">
        <v>2</v>
      </c>
      <c r="P25" s="16">
        <v>15</v>
      </c>
      <c r="Q25" s="309">
        <v>3</v>
      </c>
      <c r="R25" s="304"/>
      <c r="S25" s="304">
        <v>1</v>
      </c>
      <c r="T25" s="304"/>
      <c r="U25" s="304">
        <v>1</v>
      </c>
      <c r="V25" s="310">
        <f t="shared" si="0"/>
        <v>23</v>
      </c>
      <c r="W25" s="313">
        <f t="shared" si="1"/>
        <v>11.5</v>
      </c>
      <c r="X25" s="313">
        <f t="shared" si="2"/>
        <v>28.75</v>
      </c>
      <c r="Y25" s="215">
        <f t="shared" si="3"/>
        <v>22.041666666666668</v>
      </c>
      <c r="Z25" s="216">
        <f t="shared" si="4"/>
        <v>11.020833333333334</v>
      </c>
      <c r="AA25" s="217">
        <v>46121</v>
      </c>
      <c r="AB25" s="217">
        <v>46128</v>
      </c>
      <c r="AC25" s="218">
        <v>46129</v>
      </c>
      <c r="AD25" s="229">
        <v>46139</v>
      </c>
      <c r="AE25" s="206">
        <f>IF($Z25="",0,IF($M25="",0,$M25))</f>
        <v>0</v>
      </c>
      <c r="AF25" s="206">
        <f>IF(OR($Z25="",$N25=""),0,$Z25*5%)</f>
        <v>0.55104166666666676</v>
      </c>
      <c r="AG25" s="206">
        <f>IF(OR($Z25="",$O25=""),0,$Z25*10%)</f>
        <v>1.1020833333333335</v>
      </c>
      <c r="AH25" s="206">
        <f>IF($Z25="",0,IF(AND($P25="",$Q25=""),($Z25-$AE25-$AF25-$AG25-$AJ25-$AK25-$AL25-$AM25),IF($P25="",0,IF($Q25="",($Z25-$AE25-$AF25-$AG25-$AJ25-$AK25-$AL25-$AM25),($Z25-$AE25-$AF25-$AG25-$AJ25-$AK25-$AL25-$AM25)-$AI25))))</f>
        <v>5.5889423076923093</v>
      </c>
      <c r="AI25" s="206">
        <f>IF($Z25="",0,IF(AND($P25="",$Q25=""),0,IF($Q25="",0,IF($P25="",($Z25-$AE25-$AF25-$AG25-$AJ25-$AK25-$AL25-$AM25),($Z25-$AE25-$AF25-$AG25-$AJ25-$AK25-$AL25-$AM25)*15%/(50%+15%)))))</f>
        <v>1.6766826923076925</v>
      </c>
      <c r="AJ25" s="206">
        <f>IF($Z25="",0,IF($R25="",0,$R25))</f>
        <v>0</v>
      </c>
      <c r="AK25" s="206">
        <f>IF(OR($Z25="",$S25=""),0,$Z25*10%)</f>
        <v>1.1020833333333335</v>
      </c>
      <c r="AL25" s="206">
        <f>IF(OR($Z25="",$T25=""),0,$Z25*10%)</f>
        <v>0</v>
      </c>
      <c r="AM25" s="206">
        <f>IF($Z25="",0,IF($U25="",0,$U25))</f>
        <v>1</v>
      </c>
      <c r="AN25" s="303"/>
    </row>
    <row r="26" spans="1:40" ht="17.25" customHeight="1">
      <c r="A26" s="304">
        <v>24</v>
      </c>
      <c r="B26" s="305"/>
      <c r="C26" s="305" t="s">
        <v>353</v>
      </c>
      <c r="D26" s="307" t="s">
        <v>354</v>
      </c>
      <c r="E26" s="307"/>
      <c r="F26" s="312" t="s">
        <v>63</v>
      </c>
      <c r="G26" s="304"/>
      <c r="H26" s="304"/>
      <c r="I26" s="304"/>
      <c r="J26" s="304"/>
      <c r="K26" s="304"/>
      <c r="L26" s="304"/>
      <c r="M26" s="304"/>
      <c r="N26" s="304">
        <v>1</v>
      </c>
      <c r="O26" s="308">
        <v>2</v>
      </c>
      <c r="P26" s="16">
        <v>38</v>
      </c>
      <c r="Q26" s="309">
        <v>5</v>
      </c>
      <c r="R26" s="304"/>
      <c r="S26" s="304">
        <v>5</v>
      </c>
      <c r="T26" s="304"/>
      <c r="U26" s="304"/>
      <c r="V26" s="310">
        <f t="shared" si="0"/>
        <v>51</v>
      </c>
      <c r="W26" s="311">
        <f t="shared" si="1"/>
        <v>25.5</v>
      </c>
      <c r="X26" s="311">
        <f t="shared" si="2"/>
        <v>63.75</v>
      </c>
      <c r="Y26" s="128">
        <f t="shared" si="3"/>
        <v>48.875</v>
      </c>
      <c r="Z26" s="207">
        <f t="shared" si="4"/>
        <v>24.4375</v>
      </c>
      <c r="AA26" s="184"/>
      <c r="AB26" s="184"/>
      <c r="AC26" s="184"/>
      <c r="AD26" s="185"/>
      <c r="AE26" s="206">
        <f>IF($Z26="",0,IF($M26="",0,$M26))</f>
        <v>0</v>
      </c>
      <c r="AF26" s="206">
        <f>IF(OR($Z26="",$N26=""),0,$Z26*5%)</f>
        <v>1.221875</v>
      </c>
      <c r="AG26" s="206">
        <f>IF(OR($Z26="",$O26=""),0,$Z26*10%)</f>
        <v>2.4437500000000001</v>
      </c>
      <c r="AH26" s="206">
        <f>IF($Z26="",0,IF(AND($P26="",$Q26=""),($Z26-$AE26-$AF26-$AG26-$AJ26-$AK26-$AL26-$AM26),IF($P26="",0,IF($Q26="",($Z26-$AE26-$AF26-$AG26-$AJ26-$AK26-$AL26-$AM26),($Z26-$AE26-$AF26-$AG26-$AJ26-$AK26-$AL26-$AM26)-$AI26))))</f>
        <v>14.09855769230769</v>
      </c>
      <c r="AI26" s="206">
        <f>IF($Z26="",0,IF(AND($P26="",$Q26=""),0,IF($Q26="",0,IF($P26="",($Z26-$AE26-$AF26-$AG26-$AJ26-$AK26-$AL26-$AM26),($Z26-$AE26-$AF26-$AG26-$AJ26-$AK26-$AL26-$AM26)*15%/(50%+15%)))))</f>
        <v>4.2295673076923066</v>
      </c>
      <c r="AJ26" s="206">
        <f>IF($Z26="",0,IF($R26="",0,$R26))</f>
        <v>0</v>
      </c>
      <c r="AK26" s="206">
        <f>IF(OR($Z26="",$S26=""),0,$Z26*10%)</f>
        <v>2.4437500000000001</v>
      </c>
      <c r="AL26" s="206">
        <f>IF(OR($Z26="",$T26=""),0,$Z26*10%)</f>
        <v>0</v>
      </c>
      <c r="AM26" s="206">
        <f>IF($Z26="",0,IF($U26="",0,$U26))</f>
        <v>0</v>
      </c>
      <c r="AN26" s="303"/>
    </row>
    <row r="27" spans="1:40" ht="17.25" customHeight="1">
      <c r="A27" s="304">
        <v>25</v>
      </c>
      <c r="B27" s="305"/>
      <c r="C27" s="305"/>
      <c r="D27" s="307" t="s">
        <v>355</v>
      </c>
      <c r="E27" s="307"/>
      <c r="F27" s="304" t="s">
        <v>319</v>
      </c>
      <c r="G27" s="304"/>
      <c r="H27" s="304"/>
      <c r="I27" s="304"/>
      <c r="J27" s="304"/>
      <c r="K27" s="304"/>
      <c r="L27" s="304"/>
      <c r="M27" s="304"/>
      <c r="N27" s="304">
        <v>1</v>
      </c>
      <c r="O27" s="308">
        <v>2</v>
      </c>
      <c r="P27" s="16">
        <v>25</v>
      </c>
      <c r="Q27" s="309">
        <v>5</v>
      </c>
      <c r="R27" s="304"/>
      <c r="S27" s="304">
        <v>3</v>
      </c>
      <c r="T27" s="304"/>
      <c r="U27" s="304"/>
      <c r="V27" s="310">
        <f t="shared" si="0"/>
        <v>36</v>
      </c>
      <c r="W27" s="311">
        <f t="shared" si="1"/>
        <v>18</v>
      </c>
      <c r="X27" s="311">
        <f t="shared" si="2"/>
        <v>45</v>
      </c>
      <c r="Y27" s="128">
        <f t="shared" si="3"/>
        <v>34.5</v>
      </c>
      <c r="Z27" s="207">
        <f t="shared" si="4"/>
        <v>17.25</v>
      </c>
      <c r="AA27" s="184"/>
      <c r="AB27" s="184"/>
      <c r="AC27" s="184"/>
      <c r="AD27" s="185"/>
      <c r="AE27" s="206">
        <f>IF($Z27="",0,IF($M27="",0,$M27))</f>
        <v>0</v>
      </c>
      <c r="AF27" s="206">
        <f>IF(OR($Z27="",$N27=""),0,$Z27*5%)</f>
        <v>0.86250000000000004</v>
      </c>
      <c r="AG27" s="206">
        <f>IF(OR($Z27="",$O27=""),0,$Z27*10%)</f>
        <v>1.7250000000000001</v>
      </c>
      <c r="AH27" s="206">
        <f>IF($Z27="",0,IF(AND($P27="",$Q27=""),($Z27-$AE27-$AF27-$AG27-$AJ27-$AK27-$AL27-$AM27),IF($P27="",0,IF($Q27="",($Z27-$AE27-$AF27-$AG27-$AJ27-$AK27-$AL27-$AM27),($Z27-$AE27-$AF27-$AG27-$AJ27-$AK27-$AL27-$AM27)-$AI27))))</f>
        <v>9.9519230769230766</v>
      </c>
      <c r="AI27" s="206">
        <f>IF($Z27="",0,IF(AND($P27="",$Q27=""),0,IF($Q27="",0,IF($P27="",($Z27-$AE27-$AF27-$AG27-$AJ27-$AK27-$AL27-$AM27),($Z27-$AE27-$AF27-$AG27-$AJ27-$AK27-$AL27-$AM27)*15%/(50%+15%)))))</f>
        <v>2.9855769230769229</v>
      </c>
      <c r="AJ27" s="206">
        <f>IF($Z27="",0,IF($R27="",0,$R27))</f>
        <v>0</v>
      </c>
      <c r="AK27" s="206">
        <f>IF(OR($Z27="",$S27=""),0,$Z27*10%)</f>
        <v>1.7250000000000001</v>
      </c>
      <c r="AL27" s="206">
        <f>IF(OR($Z27="",$T27=""),0,$Z27*10%)</f>
        <v>0</v>
      </c>
      <c r="AM27" s="206">
        <f>IF($Z27="",0,IF($U27="",0,$U27))</f>
        <v>0</v>
      </c>
      <c r="AN27" s="303"/>
    </row>
    <row r="28" spans="1:40" ht="17.25" customHeight="1">
      <c r="A28" s="304">
        <v>26</v>
      </c>
      <c r="B28" s="305"/>
      <c r="C28" s="305"/>
      <c r="D28" s="307" t="s">
        <v>356</v>
      </c>
      <c r="E28" s="307"/>
      <c r="F28" s="304" t="s">
        <v>63</v>
      </c>
      <c r="G28" s="304"/>
      <c r="H28" s="304"/>
      <c r="I28" s="304"/>
      <c r="J28" s="304"/>
      <c r="K28" s="304"/>
      <c r="L28" s="304"/>
      <c r="M28" s="304"/>
      <c r="N28" s="304"/>
      <c r="O28" s="308"/>
      <c r="P28" s="16">
        <v>5</v>
      </c>
      <c r="Q28" s="309">
        <v>1</v>
      </c>
      <c r="R28" s="304"/>
      <c r="S28" s="304"/>
      <c r="T28" s="304"/>
      <c r="U28" s="304"/>
      <c r="V28" s="310">
        <f t="shared" si="0"/>
        <v>6</v>
      </c>
      <c r="W28" s="311">
        <f t="shared" si="1"/>
        <v>3</v>
      </c>
      <c r="X28" s="311">
        <f t="shared" si="2"/>
        <v>7.5</v>
      </c>
      <c r="Y28" s="128">
        <f t="shared" si="3"/>
        <v>5.75</v>
      </c>
      <c r="Z28" s="207">
        <f t="shared" si="4"/>
        <v>2.875</v>
      </c>
      <c r="AA28" s="184"/>
      <c r="AB28" s="184"/>
      <c r="AC28" s="184"/>
      <c r="AD28" s="185"/>
      <c r="AE28" s="206">
        <f>IF($Z28="",0,IF($M28="",0,$M28))</f>
        <v>0</v>
      </c>
      <c r="AF28" s="206">
        <f>IF(OR($Z28="",$N28=""),0,$Z28*5%)</f>
        <v>0</v>
      </c>
      <c r="AG28" s="206">
        <f>IF(OR($Z28="",$O28=""),0,$Z28*10%)</f>
        <v>0</v>
      </c>
      <c r="AH28" s="206">
        <f>IF($Z28="",0,IF(AND($P28="",$Q28=""),($Z28-$AE28-$AF28-$AG28-$AJ28-$AK28-$AL28-$AM28),IF($P28="",0,IF($Q28="",($Z28-$AE28-$AF28-$AG28-$AJ28-$AK28-$AL28-$AM28),($Z28-$AE28-$AF28-$AG28-$AJ28-$AK28-$AL28-$AM28)-$AI28))))</f>
        <v>2.2115384615384617</v>
      </c>
      <c r="AI28" s="206">
        <f>IF($Z28="",0,IF(AND($P28="",$Q28=""),0,IF($Q28="",0,IF($P28="",($Z28-$AE28-$AF28-$AG28-$AJ28-$AK28-$AL28-$AM28),($Z28-$AE28-$AF28-$AG28-$AJ28-$AK28-$AL28-$AM28)*15%/(50%+15%)))))</f>
        <v>0.66346153846153844</v>
      </c>
      <c r="AJ28" s="206">
        <f>IF($Z28="",0,IF($R28="",0,$R28))</f>
        <v>0</v>
      </c>
      <c r="AK28" s="206">
        <f>IF(OR($Z28="",$S28=""),0,$Z28*10%)</f>
        <v>0</v>
      </c>
      <c r="AL28" s="206">
        <f>IF(OR($Z28="",$T28=""),0,$Z28*10%)</f>
        <v>0</v>
      </c>
      <c r="AM28" s="206">
        <f>IF($Z28="",0,IF($U28="",0,$U28))</f>
        <v>0</v>
      </c>
      <c r="AN28" s="303"/>
    </row>
    <row r="29" spans="1:40" ht="17.25" customHeight="1">
      <c r="A29" s="304">
        <v>27</v>
      </c>
      <c r="B29" s="305"/>
      <c r="C29" s="305"/>
      <c r="D29" s="307" t="s">
        <v>357</v>
      </c>
      <c r="E29" s="307"/>
      <c r="F29" s="304" t="s">
        <v>348</v>
      </c>
      <c r="G29" s="304"/>
      <c r="H29" s="304"/>
      <c r="I29" s="304"/>
      <c r="J29" s="304"/>
      <c r="K29" s="304"/>
      <c r="L29" s="304"/>
      <c r="M29" s="304"/>
      <c r="N29" s="304">
        <v>1</v>
      </c>
      <c r="O29" s="308">
        <v>2</v>
      </c>
      <c r="P29" s="16">
        <v>25</v>
      </c>
      <c r="Q29" s="309">
        <v>6</v>
      </c>
      <c r="R29" s="304"/>
      <c r="S29" s="304">
        <v>5</v>
      </c>
      <c r="T29" s="304"/>
      <c r="U29" s="304"/>
      <c r="V29" s="310">
        <f t="shared" si="0"/>
        <v>39</v>
      </c>
      <c r="W29" s="311">
        <f t="shared" si="1"/>
        <v>19.5</v>
      </c>
      <c r="X29" s="311">
        <f t="shared" si="2"/>
        <v>48.75</v>
      </c>
      <c r="Y29" s="128">
        <f t="shared" si="3"/>
        <v>37.375</v>
      </c>
      <c r="Z29" s="207">
        <f t="shared" si="4"/>
        <v>18.6875</v>
      </c>
      <c r="AA29" s="184"/>
      <c r="AB29" s="184"/>
      <c r="AC29" s="184"/>
      <c r="AD29" s="185"/>
      <c r="AE29" s="206">
        <f>IF($Z29="",0,IF($M29="",0,$M29))</f>
        <v>0</v>
      </c>
      <c r="AF29" s="206">
        <f>IF(OR($Z29="",$N29=""),0,$Z29*5%)</f>
        <v>0.93437500000000007</v>
      </c>
      <c r="AG29" s="206">
        <f>IF(OR($Z29="",$O29=""),0,$Z29*10%)</f>
        <v>1.8687500000000001</v>
      </c>
      <c r="AH29" s="206">
        <f>IF($Z29="",0,IF(AND($P29="",$Q29=""),($Z29-$AE29-$AF29-$AG29-$AJ29-$AK29-$AL29-$AM29),IF($P29="",0,IF($Q29="",($Z29-$AE29-$AF29-$AG29-$AJ29-$AK29-$AL29-$AM29),($Z29-$AE29-$AF29-$AG29-$AJ29-$AK29-$AL29-$AM29)-$AI29))))</f>
        <v>10.78125</v>
      </c>
      <c r="AI29" s="206">
        <f>IF($Z29="",0,IF(AND($P29="",$Q29=""),0,IF($Q29="",0,IF($P29="",($Z29-$AE29-$AF29-$AG29-$AJ29-$AK29-$AL29-$AM29),($Z29-$AE29-$AF29-$AG29-$AJ29-$AK29-$AL29-$AM29)*15%/(50%+15%)))))</f>
        <v>3.2343749999999996</v>
      </c>
      <c r="AJ29" s="206">
        <f>IF($Z29="",0,IF($R29="",0,$R29))</f>
        <v>0</v>
      </c>
      <c r="AK29" s="206">
        <f>IF(OR($Z29="",$S29=""),0,$Z29*10%)</f>
        <v>1.8687500000000001</v>
      </c>
      <c r="AL29" s="206">
        <f>IF(OR($Z29="",$T29=""),0,$Z29*10%)</f>
        <v>0</v>
      </c>
      <c r="AM29" s="206">
        <f>IF($Z29="",0,IF($U29="",0,$U29))</f>
        <v>0</v>
      </c>
      <c r="AN29" s="303"/>
    </row>
    <row r="30" spans="1:40" ht="17.25" customHeight="1">
      <c r="A30" s="304">
        <v>28</v>
      </c>
      <c r="B30" s="305"/>
      <c r="C30" s="305" t="s">
        <v>358</v>
      </c>
      <c r="D30" s="307" t="s">
        <v>359</v>
      </c>
      <c r="E30" s="307"/>
      <c r="F30" s="304" t="s">
        <v>63</v>
      </c>
      <c r="G30" s="304"/>
      <c r="H30" s="304"/>
      <c r="I30" s="304"/>
      <c r="J30" s="304"/>
      <c r="K30" s="304"/>
      <c r="L30" s="304"/>
      <c r="M30" s="304"/>
      <c r="N30" s="304"/>
      <c r="O30" s="308"/>
      <c r="P30" s="16">
        <v>50</v>
      </c>
      <c r="Q30" s="309">
        <v>5</v>
      </c>
      <c r="R30" s="304"/>
      <c r="S30" s="304">
        <v>3</v>
      </c>
      <c r="T30" s="304"/>
      <c r="U30" s="304"/>
      <c r="V30" s="310">
        <f t="shared" si="0"/>
        <v>58</v>
      </c>
      <c r="W30" s="311">
        <f t="shared" si="1"/>
        <v>29</v>
      </c>
      <c r="X30" s="311">
        <f t="shared" si="2"/>
        <v>72.5</v>
      </c>
      <c r="Y30" s="128">
        <f t="shared" si="3"/>
        <v>55.583333333333336</v>
      </c>
      <c r="Z30" s="207">
        <f t="shared" si="4"/>
        <v>27.791666666666668</v>
      </c>
      <c r="AA30" s="184"/>
      <c r="AB30" s="184"/>
      <c r="AC30" s="184"/>
      <c r="AD30" s="185"/>
      <c r="AE30" s="206">
        <f>IF($Z30="",0,IF($M30="",0,$M30))</f>
        <v>0</v>
      </c>
      <c r="AF30" s="206">
        <f>IF(OR($Z30="",$N30=""),0,$Z30*5%)</f>
        <v>0</v>
      </c>
      <c r="AG30" s="206">
        <f>IF(OR($Z30="",$O30=""),0,$Z30*10%)</f>
        <v>0</v>
      </c>
      <c r="AH30" s="206">
        <f>IF($Z30="",0,IF(AND($P30="",$Q30=""),($Z30-$AE30-$AF30-$AG30-$AJ30-$AK30-$AL30-$AM30),IF($P30="",0,IF($Q30="",($Z30-$AE30-$AF30-$AG30-$AJ30-$AK30-$AL30-$AM30),($Z30-$AE30-$AF30-$AG30-$AJ30-$AK30-$AL30-$AM30)-$AI30))))</f>
        <v>19.24038461538462</v>
      </c>
      <c r="AI30" s="206">
        <f>IF($Z30="",0,IF(AND($P30="",$Q30=""),0,IF($Q30="",0,IF($P30="",($Z30-$AE30-$AF30-$AG30-$AJ30-$AK30-$AL30-$AM30),($Z30-$AE30-$AF30-$AG30-$AJ30-$AK30-$AL30-$AM30)*15%/(50%+15%)))))</f>
        <v>5.7721153846153843</v>
      </c>
      <c r="AJ30" s="206">
        <f>IF($Z30="",0,IF($R30="",0,$R30))</f>
        <v>0</v>
      </c>
      <c r="AK30" s="206">
        <f>IF(OR($Z30="",$S30=""),0,$Z30*10%)</f>
        <v>2.7791666666666668</v>
      </c>
      <c r="AL30" s="206">
        <f>IF(OR($Z30="",$T30=""),0,$Z30*10%)</f>
        <v>0</v>
      </c>
      <c r="AM30" s="206">
        <f>IF($Z30="",0,IF($U30="",0,$U30))</f>
        <v>0</v>
      </c>
      <c r="AN30" s="303"/>
    </row>
    <row r="31" spans="1:40" ht="17.25" customHeight="1">
      <c r="A31" s="304">
        <v>29</v>
      </c>
      <c r="B31" s="305"/>
      <c r="C31" s="305"/>
      <c r="D31" s="307" t="s">
        <v>360</v>
      </c>
      <c r="E31" s="307"/>
      <c r="F31" s="304" t="s">
        <v>63</v>
      </c>
      <c r="G31" s="304"/>
      <c r="H31" s="304"/>
      <c r="I31" s="304"/>
      <c r="J31" s="304"/>
      <c r="K31" s="304"/>
      <c r="L31" s="304"/>
      <c r="M31" s="304"/>
      <c r="N31" s="304"/>
      <c r="O31" s="308"/>
      <c r="P31" s="16">
        <v>13</v>
      </c>
      <c r="Q31" s="309">
        <v>2</v>
      </c>
      <c r="R31" s="304"/>
      <c r="S31" s="304"/>
      <c r="T31" s="304"/>
      <c r="U31" s="304"/>
      <c r="V31" s="310">
        <f t="shared" si="0"/>
        <v>15</v>
      </c>
      <c r="W31" s="311">
        <f t="shared" si="1"/>
        <v>7.5</v>
      </c>
      <c r="X31" s="311">
        <f t="shared" si="2"/>
        <v>18.75</v>
      </c>
      <c r="Y31" s="128">
        <f t="shared" si="3"/>
        <v>14.375</v>
      </c>
      <c r="Z31" s="207">
        <f t="shared" si="4"/>
        <v>7.1875</v>
      </c>
      <c r="AA31" s="184"/>
      <c r="AB31" s="184"/>
      <c r="AC31" s="184"/>
      <c r="AD31" s="185"/>
      <c r="AE31" s="206">
        <f>IF($Z31="",0,IF($M31="",0,$M31))</f>
        <v>0</v>
      </c>
      <c r="AF31" s="206">
        <f>IF(OR($Z31="",$N31=""),0,$Z31*5%)</f>
        <v>0</v>
      </c>
      <c r="AG31" s="206">
        <f>IF(OR($Z31="",$O31=""),0,$Z31*10%)</f>
        <v>0</v>
      </c>
      <c r="AH31" s="206">
        <f>IF($Z31="",0,IF(AND($P31="",$Q31=""),($Z31-$AE31-$AF31-$AG31-$AJ31-$AK31-$AL31-$AM31),IF($P31="",0,IF($Q31="",($Z31-$AE31-$AF31-$AG31-$AJ31-$AK31-$AL31-$AM31),($Z31-$AE31-$AF31-$AG31-$AJ31-$AK31-$AL31-$AM31)-$AI31))))</f>
        <v>5.5288461538461542</v>
      </c>
      <c r="AI31" s="206">
        <f>IF($Z31="",0,IF(AND($P31="",$Q31=""),0,IF($Q31="",0,IF($P31="",($Z31-$AE31-$AF31-$AG31-$AJ31-$AK31-$AL31-$AM31),($Z31-$AE31-$AF31-$AG31-$AJ31-$AK31-$AL31-$AM31)*15%/(50%+15%)))))</f>
        <v>1.658653846153846</v>
      </c>
      <c r="AJ31" s="206">
        <f>IF($Z31="",0,IF($R31="",0,$R31))</f>
        <v>0</v>
      </c>
      <c r="AK31" s="206">
        <f>IF(OR($Z31="",$S31=""),0,$Z31*10%)</f>
        <v>0</v>
      </c>
      <c r="AL31" s="206">
        <f>IF(OR($Z31="",$T31=""),0,$Z31*10%)</f>
        <v>0</v>
      </c>
      <c r="AM31" s="206">
        <f>IF($Z31="",0,IF($U31="",0,$U31))</f>
        <v>0</v>
      </c>
      <c r="AN31" s="303"/>
    </row>
    <row r="32" spans="1:40" ht="17.25" customHeight="1">
      <c r="A32" s="304">
        <v>30</v>
      </c>
      <c r="B32" s="314" t="s">
        <v>162</v>
      </c>
      <c r="C32" s="314" t="s">
        <v>361</v>
      </c>
      <c r="D32" s="307" t="s">
        <v>362</v>
      </c>
      <c r="E32" s="307"/>
      <c r="F32" s="312" t="s">
        <v>63</v>
      </c>
      <c r="G32" s="304"/>
      <c r="H32" s="304"/>
      <c r="I32" s="304"/>
      <c r="J32" s="304"/>
      <c r="K32" s="304"/>
      <c r="L32" s="304"/>
      <c r="M32" s="304"/>
      <c r="N32" s="304">
        <v>2</v>
      </c>
      <c r="O32" s="308">
        <v>3</v>
      </c>
      <c r="P32" s="16">
        <v>50</v>
      </c>
      <c r="Q32" s="309">
        <v>6</v>
      </c>
      <c r="R32" s="304"/>
      <c r="S32" s="304">
        <v>10</v>
      </c>
      <c r="T32" s="304"/>
      <c r="U32" s="304"/>
      <c r="V32" s="316">
        <f t="shared" si="0"/>
        <v>71</v>
      </c>
      <c r="W32" s="317">
        <f t="shared" si="1"/>
        <v>35.5</v>
      </c>
      <c r="X32" s="317">
        <f t="shared" si="2"/>
        <v>88.75</v>
      </c>
      <c r="Y32" s="176">
        <f t="shared" si="3"/>
        <v>68.041666666666671</v>
      </c>
      <c r="Z32" s="211">
        <f t="shared" si="4"/>
        <v>34.020833333333336</v>
      </c>
      <c r="AA32" s="188"/>
      <c r="AB32" s="188"/>
      <c r="AC32" s="188"/>
      <c r="AD32" s="189"/>
      <c r="AE32" s="206">
        <f>IF($Z32="",0,IF($M32="",0,$M32))</f>
        <v>0</v>
      </c>
      <c r="AF32" s="206">
        <f>IF(OR($Z32="",$N32=""),0,$Z32*5%)</f>
        <v>1.7010416666666668</v>
      </c>
      <c r="AG32" s="206">
        <f>IF(OR($Z32="",$O32=""),0,$Z32*10%)</f>
        <v>3.4020833333333336</v>
      </c>
      <c r="AH32" s="206">
        <f>IF($Z32="",0,IF(AND($P32="",$Q32=""),($Z32-$AE32-$AF32-$AG32-$AJ32-$AK32-$AL32-$AM32),IF($P32="",0,IF($Q32="",($Z32-$AE32-$AF32-$AG32-$AJ32-$AK32-$AL32-$AM32),($Z32-$AE32-$AF32-$AG32-$AJ32-$AK32-$AL32-$AM32)-$AI32))))</f>
        <v>19.627403846153847</v>
      </c>
      <c r="AI32" s="206">
        <f>IF($Z32="",0,IF(AND($P32="",$Q32=""),0,IF($Q32="",0,IF($P32="",($Z32-$AE32-$AF32-$AG32-$AJ32-$AK32-$AL32-$AM32),($Z32-$AE32-$AF32-$AG32-$AJ32-$AK32-$AL32-$AM32)*15%/(50%+15%)))))</f>
        <v>5.8882211538461533</v>
      </c>
      <c r="AJ32" s="206">
        <f>IF($Z32="",0,IF($R32="",0,$R32))</f>
        <v>0</v>
      </c>
      <c r="AK32" s="206">
        <f>IF(OR($Z32="",$S32=""),0,$Z32*10%)</f>
        <v>3.4020833333333336</v>
      </c>
      <c r="AL32" s="206">
        <f>IF(OR($Z32="",$T32=""),0,$Z32*10%)</f>
        <v>0</v>
      </c>
      <c r="AM32" s="206">
        <f>IF($Z32="",0,IF($U32="",0,$U32))</f>
        <v>0</v>
      </c>
      <c r="AN32" s="303"/>
    </row>
    <row r="33" spans="1:40" ht="17.25" customHeight="1">
      <c r="A33" s="303"/>
      <c r="B33" s="303"/>
      <c r="C33" s="303"/>
      <c r="D33" s="318"/>
      <c r="E33" s="318"/>
      <c r="F33" s="303"/>
      <c r="G33" s="303"/>
      <c r="H33" s="303"/>
      <c r="I33" s="303"/>
      <c r="J33" s="303"/>
      <c r="K33" s="303"/>
      <c r="L33" s="303"/>
      <c r="M33" s="303"/>
      <c r="N33" s="303"/>
      <c r="O33" s="303"/>
      <c r="P33" s="303"/>
      <c r="Q33" s="303"/>
      <c r="R33" s="303"/>
      <c r="S33" s="303"/>
      <c r="T33" s="303"/>
      <c r="U33" s="303"/>
      <c r="V33" s="132">
        <f>SUM(V3:V32)*Settings!I2</f>
        <v>0</v>
      </c>
      <c r="W33" s="175">
        <f>SUM(W3:W32)*Settings!I2</f>
        <v>0</v>
      </c>
      <c r="X33" s="175">
        <f>SUM(X3:X32)*Settings!I2</f>
        <v>0</v>
      </c>
      <c r="Y33" s="84">
        <f>SUM(Y3:Y32)*Settings!I2</f>
        <v>0</v>
      </c>
      <c r="Z33" s="212">
        <f>SUM(Z3:Z32)*Settings!I2</f>
        <v>0</v>
      </c>
      <c r="AA33" s="84"/>
      <c r="AB33" s="84"/>
      <c r="AC33" s="84"/>
      <c r="AD33" s="84"/>
      <c r="AE33" s="303"/>
      <c r="AF33" s="303"/>
      <c r="AG33" s="303"/>
      <c r="AH33" s="303"/>
      <c r="AI33" s="303"/>
      <c r="AJ33" s="303"/>
      <c r="AK33" s="303"/>
      <c r="AL33" s="303"/>
      <c r="AM33" s="303"/>
      <c r="AN33" s="303"/>
    </row>
    <row r="34" spans="1:40" ht="17.25" customHeight="1">
      <c r="A34" s="303"/>
      <c r="B34" s="303"/>
      <c r="C34" s="303"/>
      <c r="D34" s="318"/>
      <c r="E34" s="318"/>
      <c r="F34" s="303"/>
      <c r="G34" s="303"/>
      <c r="H34" s="303"/>
      <c r="I34" s="303"/>
      <c r="J34" s="303"/>
      <c r="K34" s="303"/>
      <c r="L34" s="303"/>
      <c r="M34" s="303"/>
      <c r="N34" s="303"/>
      <c r="O34" s="303"/>
      <c r="P34" s="303"/>
      <c r="Q34" s="303"/>
      <c r="R34" s="303"/>
      <c r="S34" s="303"/>
      <c r="T34" s="303"/>
      <c r="U34" s="303"/>
      <c r="V34" s="303"/>
      <c r="W34" s="303"/>
      <c r="X34" s="303"/>
      <c r="Y34" s="303"/>
      <c r="Z34" s="319"/>
      <c r="AA34" s="303"/>
      <c r="AB34" s="303"/>
      <c r="AC34" s="303"/>
      <c r="AD34" s="303"/>
      <c r="AE34" s="303"/>
      <c r="AF34" s="303"/>
      <c r="AG34" s="303"/>
      <c r="AH34" s="303"/>
      <c r="AI34" s="303"/>
      <c r="AJ34" s="303"/>
      <c r="AK34" s="303"/>
      <c r="AL34" s="303"/>
      <c r="AM34" s="303"/>
      <c r="AN34" s="303"/>
    </row>
    <row r="35" spans="1:40" ht="17.25" customHeight="1">
      <c r="A35" s="303"/>
      <c r="B35" s="303"/>
      <c r="C35" s="303"/>
      <c r="D35" s="318"/>
      <c r="E35" s="318"/>
      <c r="F35" s="303"/>
      <c r="G35" s="303"/>
      <c r="H35" s="303"/>
      <c r="I35" s="303"/>
      <c r="J35" s="303"/>
      <c r="K35" s="303"/>
      <c r="L35" s="303"/>
      <c r="M35" s="303"/>
      <c r="N35" s="303"/>
      <c r="O35" s="303"/>
      <c r="P35" s="303"/>
      <c r="Q35" s="303"/>
      <c r="R35" s="303"/>
      <c r="S35" s="303"/>
      <c r="T35" s="303"/>
      <c r="U35" s="303"/>
      <c r="V35" s="303"/>
      <c r="W35" s="303"/>
      <c r="X35" s="303"/>
      <c r="Y35" s="303"/>
      <c r="Z35" s="319"/>
      <c r="AA35" s="303"/>
      <c r="AB35" s="303"/>
      <c r="AC35" s="303"/>
      <c r="AD35" s="303"/>
      <c r="AE35" s="303"/>
      <c r="AF35" s="303"/>
      <c r="AG35" s="303"/>
      <c r="AH35" s="303"/>
      <c r="AI35" s="303"/>
      <c r="AJ35" s="303"/>
      <c r="AK35" s="303"/>
      <c r="AL35" s="303"/>
      <c r="AM35" s="303"/>
      <c r="AN35" s="303"/>
    </row>
  </sheetData>
  <mergeCells count="11">
    <mergeCell ref="W1:AM1"/>
    <mergeCell ref="M1:V1"/>
    <mergeCell ref="B24:B31"/>
    <mergeCell ref="C24:C25"/>
    <mergeCell ref="C26:C29"/>
    <mergeCell ref="C30:C31"/>
    <mergeCell ref="B3:B17"/>
    <mergeCell ref="C3:C14"/>
    <mergeCell ref="B18:B23"/>
    <mergeCell ref="C21:C22"/>
    <mergeCell ref="A1:D1"/>
  </mergeCells>
  <hyperlinks>
    <hyperlink ref="E13" r:id="rId1" xr:uid="{F7AF0F9A-3D4F-4E09-9F96-CD16D039FBFD}"/>
    <hyperlink ref="E14" r:id="rId2" xr:uid="{18065163-E72B-4994-A113-E1DE183C8EFC}"/>
    <hyperlink ref="E22" r:id="rId3" xr:uid="{56FD834C-B30B-4AD3-B23E-04931C67C40F}"/>
    <hyperlink ref="E25" r:id="rId4" xr:uid="{E5F477A7-B2BD-4B9B-9A64-D9B0D9A52CD9}"/>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DF46-B7F2-4345-B4CF-F1E4FD31BFBD}">
  <dimension ref="A1:R15"/>
  <sheetViews>
    <sheetView topLeftCell="C1" workbookViewId="0">
      <selection activeCell="F13" sqref="F13"/>
    </sheetView>
  </sheetViews>
  <sheetFormatPr defaultRowHeight="15"/>
  <cols>
    <col min="1" max="1" width="22.5703125" customWidth="1"/>
    <col min="2" max="2" width="11" bestFit="1" customWidth="1"/>
    <col min="3" max="3" width="10" bestFit="1" customWidth="1"/>
    <col min="4" max="4" width="10.5703125" bestFit="1" customWidth="1"/>
    <col min="5" max="5" width="19.42578125" bestFit="1" customWidth="1"/>
    <col min="6" max="6" width="12.28515625" bestFit="1" customWidth="1"/>
  </cols>
  <sheetData>
    <row r="1" spans="1:18">
      <c r="B1" s="7" t="s">
        <v>363</v>
      </c>
      <c r="C1" s="7" t="s">
        <v>2</v>
      </c>
      <c r="D1" s="7" t="s">
        <v>4</v>
      </c>
      <c r="E1" s="7" t="s">
        <v>364</v>
      </c>
      <c r="F1" s="7" t="s">
        <v>12</v>
      </c>
    </row>
    <row r="2" spans="1:18">
      <c r="A2" t="s">
        <v>13</v>
      </c>
      <c r="B2" s="59">
        <f>'Technical Support Raw Data'!F10</f>
        <v>5.208333333333333</v>
      </c>
      <c r="C2" s="311">
        <f>B2-(B2 * 50%)</f>
        <v>2.6041666666666665</v>
      </c>
      <c r="D2" s="311">
        <f>B2 + (C2 * 10%)</f>
        <v>5.46875</v>
      </c>
      <c r="E2" s="128">
        <f>(C2+(4*B2)+D2)/6</f>
        <v>4.817708333333333</v>
      </c>
      <c r="F2" s="174">
        <f>E2/2</f>
        <v>2.4088541666666665</v>
      </c>
    </row>
    <row r="3" spans="1:18">
      <c r="A3" t="s">
        <v>16</v>
      </c>
      <c r="B3" s="59">
        <f>'Technical Support Raw Data'!F11</f>
        <v>1.25</v>
      </c>
      <c r="C3" s="311">
        <f t="shared" ref="C3:C6" si="0">B3-(B3 * 50%)</f>
        <v>0.625</v>
      </c>
      <c r="D3" s="311">
        <f t="shared" ref="D3:D6" si="1">B3 + (C3 * 10%)</f>
        <v>1.3125</v>
      </c>
      <c r="E3" s="128">
        <f t="shared" ref="E3:E6" si="2">(C3+(4*B3)+D3)/6</f>
        <v>1.15625</v>
      </c>
      <c r="F3" s="174">
        <f t="shared" ref="F3:F6" si="3">E3/2</f>
        <v>0.578125</v>
      </c>
    </row>
    <row r="4" spans="1:18">
      <c r="A4" t="s">
        <v>14</v>
      </c>
      <c r="B4" s="59">
        <f>'Technical Support Raw Data'!F12</f>
        <v>4.25</v>
      </c>
      <c r="C4" s="311">
        <f t="shared" si="0"/>
        <v>2.125</v>
      </c>
      <c r="D4" s="311">
        <f t="shared" si="1"/>
        <v>4.4625000000000004</v>
      </c>
      <c r="E4" s="128">
        <f t="shared" si="2"/>
        <v>3.9312499999999999</v>
      </c>
      <c r="F4" s="174">
        <f t="shared" si="3"/>
        <v>1.965625</v>
      </c>
    </row>
    <row r="5" spans="1:18">
      <c r="A5" t="s">
        <v>15</v>
      </c>
      <c r="B5" s="59">
        <f>'Technical Support Raw Data'!F13</f>
        <v>3.5694444444444442</v>
      </c>
      <c r="C5" s="311">
        <f t="shared" si="0"/>
        <v>1.7847222222222221</v>
      </c>
      <c r="D5" s="311">
        <f t="shared" si="1"/>
        <v>3.7479166666666663</v>
      </c>
      <c r="E5" s="128">
        <f t="shared" si="2"/>
        <v>3.301736111111111</v>
      </c>
      <c r="F5" s="174">
        <f t="shared" si="3"/>
        <v>1.6508680555555555</v>
      </c>
    </row>
    <row r="6" spans="1:18">
      <c r="A6" t="s">
        <v>163</v>
      </c>
      <c r="B6" s="59">
        <f>'Technical Support Raw Data'!F13</f>
        <v>3.5694444444444442</v>
      </c>
      <c r="C6" s="311">
        <f t="shared" si="0"/>
        <v>1.7847222222222221</v>
      </c>
      <c r="D6" s="311">
        <f t="shared" si="1"/>
        <v>3.7479166666666663</v>
      </c>
      <c r="E6" s="128">
        <f t="shared" si="2"/>
        <v>3.301736111111111</v>
      </c>
      <c r="F6" s="174">
        <f t="shared" si="3"/>
        <v>1.6508680555555555</v>
      </c>
    </row>
    <row r="8" spans="1:18">
      <c r="J8" t="s">
        <v>365</v>
      </c>
    </row>
    <row r="9" spans="1:18">
      <c r="J9">
        <v>65</v>
      </c>
      <c r="K9" t="s">
        <v>366</v>
      </c>
      <c r="L9" s="59">
        <f>J9/3</f>
        <v>21.666666666666668</v>
      </c>
      <c r="M9" t="s">
        <v>367</v>
      </c>
    </row>
    <row r="10" spans="1:18">
      <c r="J10">
        <f>L10*L9</f>
        <v>671.66666666666674</v>
      </c>
      <c r="K10" t="s">
        <v>368</v>
      </c>
      <c r="L10">
        <v>31</v>
      </c>
      <c r="M10" t="s">
        <v>369</v>
      </c>
    </row>
    <row r="11" spans="1:18">
      <c r="J11">
        <v>38</v>
      </c>
      <c r="K11" t="s">
        <v>370</v>
      </c>
    </row>
    <row r="12" spans="1:18">
      <c r="E12">
        <v>30</v>
      </c>
      <c r="F12" t="s">
        <v>371</v>
      </c>
      <c r="J12">
        <f>J10-J11</f>
        <v>633.66666666666674</v>
      </c>
      <c r="K12" t="s">
        <v>372</v>
      </c>
    </row>
    <row r="13" spans="1:18">
      <c r="J13">
        <f>J12/18</f>
        <v>35.203703703703709</v>
      </c>
      <c r="K13" t="s">
        <v>373</v>
      </c>
    </row>
    <row r="14" spans="1:18">
      <c r="J14">
        <f>(J13*3)*3</f>
        <v>316.83333333333337</v>
      </c>
      <c r="K14" t="s">
        <v>374</v>
      </c>
      <c r="N14">
        <f>J14</f>
        <v>316.83333333333337</v>
      </c>
      <c r="O14" s="311">
        <f>N14-(N14 * 50%)</f>
        <v>158.41666666666669</v>
      </c>
      <c r="P14" s="311">
        <f>N14 + (N14 * 10%)</f>
        <v>348.51666666666671</v>
      </c>
      <c r="Q14" s="128">
        <f>(O14+(4*N14)+P14)/6</f>
        <v>295.71111111111117</v>
      </c>
      <c r="R14" s="174">
        <f t="shared" ref="R14" si="4">Q14/2</f>
        <v>147.85555555555558</v>
      </c>
    </row>
    <row r="15" spans="1:18">
      <c r="J15">
        <f>J14/3</f>
        <v>105.61111111111113</v>
      </c>
      <c r="K15" t="s">
        <v>375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287BA-A027-449A-8CE1-B3F9F53CE159}">
  <dimension ref="B1:G13"/>
  <sheetViews>
    <sheetView workbookViewId="0">
      <selection activeCell="B2" sqref="B2:F5"/>
    </sheetView>
  </sheetViews>
  <sheetFormatPr defaultRowHeight="15"/>
  <cols>
    <col min="2" max="2" width="18.28515625" customWidth="1"/>
    <col min="7" max="7" width="10.42578125" bestFit="1" customWidth="1"/>
  </cols>
  <sheetData>
    <row r="1" spans="2:7">
      <c r="B1" s="167" t="s">
        <v>376</v>
      </c>
      <c r="C1" s="7" t="s">
        <v>377</v>
      </c>
      <c r="D1" s="7" t="s">
        <v>378</v>
      </c>
      <c r="E1" s="7" t="s">
        <v>379</v>
      </c>
      <c r="F1" s="7" t="s">
        <v>380</v>
      </c>
      <c r="G1" s="7"/>
    </row>
    <row r="2" spans="2:7">
      <c r="B2" s="7" t="s">
        <v>13</v>
      </c>
      <c r="C2">
        <v>48</v>
      </c>
      <c r="D2">
        <v>48</v>
      </c>
      <c r="E2">
        <v>29</v>
      </c>
      <c r="F2" s="59">
        <f>AVERAGE(C2:E2)</f>
        <v>41.666666666666664</v>
      </c>
    </row>
    <row r="3" spans="2:7">
      <c r="B3" s="7" t="s">
        <v>16</v>
      </c>
      <c r="D3">
        <v>8</v>
      </c>
      <c r="E3">
        <v>12</v>
      </c>
      <c r="F3">
        <f t="shared" ref="F3:F4" si="0">AVERAGE(C3:E3)</f>
        <v>10</v>
      </c>
    </row>
    <row r="4" spans="2:7">
      <c r="B4" s="7" t="s">
        <v>14</v>
      </c>
      <c r="E4">
        <v>34</v>
      </c>
      <c r="F4">
        <f t="shared" si="0"/>
        <v>34</v>
      </c>
    </row>
    <row r="5" spans="2:7">
      <c r="F5" s="59">
        <f>AVERAGE(F2:F4)</f>
        <v>28.555555555555554</v>
      </c>
      <c r="G5" s="59" t="s">
        <v>381</v>
      </c>
    </row>
    <row r="9" spans="2:7">
      <c r="B9" s="167" t="s">
        <v>382</v>
      </c>
      <c r="C9" s="7" t="s">
        <v>377</v>
      </c>
      <c r="D9" s="7" t="s">
        <v>378</v>
      </c>
      <c r="E9" s="7" t="s">
        <v>379</v>
      </c>
      <c r="F9" s="7" t="s">
        <v>380</v>
      </c>
    </row>
    <row r="10" spans="2:7">
      <c r="B10" s="7" t="s">
        <v>13</v>
      </c>
      <c r="C10">
        <f>C2/8</f>
        <v>6</v>
      </c>
      <c r="D10">
        <f>D2/8</f>
        <v>6</v>
      </c>
      <c r="E10">
        <f>E2/8</f>
        <v>3.625</v>
      </c>
      <c r="F10" s="59">
        <f>AVERAGE(C10:E10)</f>
        <v>5.208333333333333</v>
      </c>
    </row>
    <row r="11" spans="2:7">
      <c r="B11" s="7" t="s">
        <v>16</v>
      </c>
      <c r="D11">
        <f>D3/8</f>
        <v>1</v>
      </c>
      <c r="E11">
        <f>E3/8</f>
        <v>1.5</v>
      </c>
      <c r="F11">
        <f t="shared" ref="F11:F12" si="1">AVERAGE(C11:E11)</f>
        <v>1.25</v>
      </c>
    </row>
    <row r="12" spans="2:7">
      <c r="B12" s="7" t="s">
        <v>14</v>
      </c>
      <c r="E12">
        <f>E4/8</f>
        <v>4.25</v>
      </c>
      <c r="F12">
        <f t="shared" si="1"/>
        <v>4.25</v>
      </c>
    </row>
    <row r="13" spans="2:7">
      <c r="F13" s="59">
        <f>AVERAGE(F10:F12)</f>
        <v>3.5694444444444442</v>
      </c>
      <c r="G13" t="s">
        <v>383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67550-6669-4905-BBE9-DDF1A095608F}">
  <dimension ref="B1:M23"/>
  <sheetViews>
    <sheetView workbookViewId="0">
      <selection activeCell="I3" sqref="I3"/>
    </sheetView>
  </sheetViews>
  <sheetFormatPr defaultRowHeight="14.45"/>
  <cols>
    <col min="2" max="2" width="13.28515625" customWidth="1"/>
    <col min="3" max="3" width="12" customWidth="1"/>
    <col min="4" max="5" width="13.140625" customWidth="1"/>
    <col min="6" max="6" width="15.7109375" customWidth="1"/>
    <col min="7" max="7" width="13.42578125" customWidth="1"/>
    <col min="9" max="9" width="12.140625" customWidth="1"/>
  </cols>
  <sheetData>
    <row r="1" spans="2:13" ht="15">
      <c r="B1" s="167" t="s">
        <v>384</v>
      </c>
      <c r="I1" s="134"/>
      <c r="J1" s="135"/>
      <c r="K1" s="135"/>
      <c r="L1" s="135"/>
      <c r="M1" s="136"/>
    </row>
    <row r="2" spans="2:13" ht="21">
      <c r="B2" s="7" t="s">
        <v>385</v>
      </c>
      <c r="C2" s="7" t="s">
        <v>386</v>
      </c>
      <c r="D2" s="7" t="s">
        <v>387</v>
      </c>
      <c r="E2" s="7" t="s">
        <v>388</v>
      </c>
      <c r="F2" s="7" t="s">
        <v>389</v>
      </c>
      <c r="G2" s="7" t="s">
        <v>390</v>
      </c>
      <c r="I2" s="144">
        <v>0</v>
      </c>
      <c r="J2" s="137" t="s">
        <v>391</v>
      </c>
      <c r="K2" s="138"/>
      <c r="L2" s="138"/>
      <c r="M2" s="139"/>
    </row>
    <row r="3" spans="2:13" ht="15">
      <c r="B3" t="s">
        <v>392</v>
      </c>
      <c r="C3">
        <f>D3-(D3*0.5)</f>
        <v>4</v>
      </c>
      <c r="D3" s="22">
        <v>8</v>
      </c>
      <c r="E3" s="39">
        <f>D3/$D$9</f>
        <v>8.8888888888888892E-2</v>
      </c>
      <c r="F3">
        <f>D3+(D3*0.1)</f>
        <v>8.8000000000000007</v>
      </c>
      <c r="I3" s="140"/>
      <c r="J3" s="138"/>
      <c r="K3" s="138"/>
      <c r="L3" s="138"/>
      <c r="M3" s="139"/>
    </row>
    <row r="4" spans="2:13" ht="15">
      <c r="B4" t="s">
        <v>393</v>
      </c>
      <c r="C4">
        <f t="shared" ref="C4:C8" si="0">D4-(D4*0.5)</f>
        <v>7.5</v>
      </c>
      <c r="D4" s="22">
        <v>15</v>
      </c>
      <c r="E4" s="39">
        <f t="shared" ref="E4:E8" si="1">D4/$D$9</f>
        <v>0.16666666666666666</v>
      </c>
      <c r="F4">
        <f t="shared" ref="F4:F8" si="2">D4+(D4*0.1)</f>
        <v>16.5</v>
      </c>
      <c r="I4" s="140" t="s">
        <v>394</v>
      </c>
      <c r="J4" s="138"/>
      <c r="K4" s="138"/>
      <c r="L4" s="138"/>
      <c r="M4" s="139"/>
    </row>
    <row r="5" spans="2:13" ht="15">
      <c r="B5" t="s">
        <v>295</v>
      </c>
      <c r="C5">
        <f t="shared" si="0"/>
        <v>22.5</v>
      </c>
      <c r="D5" s="22">
        <v>45</v>
      </c>
      <c r="E5" s="39">
        <f t="shared" si="1"/>
        <v>0.5</v>
      </c>
      <c r="F5">
        <f t="shared" si="2"/>
        <v>49.5</v>
      </c>
      <c r="I5" s="141" t="s">
        <v>395</v>
      </c>
      <c r="J5" s="142"/>
      <c r="K5" s="142"/>
      <c r="L5" s="142"/>
      <c r="M5" s="143"/>
    </row>
    <row r="6" spans="2:13" ht="15">
      <c r="B6" t="s">
        <v>40</v>
      </c>
      <c r="C6">
        <f t="shared" si="0"/>
        <v>7.5</v>
      </c>
      <c r="D6" s="22">
        <v>15</v>
      </c>
      <c r="E6" s="39">
        <f t="shared" si="1"/>
        <v>0.16666666666666666</v>
      </c>
      <c r="F6">
        <f t="shared" si="2"/>
        <v>16.5</v>
      </c>
    </row>
    <row r="7" spans="2:13" ht="15">
      <c r="B7" t="s">
        <v>42</v>
      </c>
      <c r="C7">
        <f t="shared" si="0"/>
        <v>1</v>
      </c>
      <c r="D7" s="22">
        <v>2</v>
      </c>
      <c r="E7" s="39">
        <f t="shared" si="1"/>
        <v>2.2222222222222223E-2</v>
      </c>
      <c r="F7">
        <f t="shared" si="2"/>
        <v>2.2000000000000002</v>
      </c>
    </row>
    <row r="8" spans="2:13" ht="15">
      <c r="B8" t="s">
        <v>396</v>
      </c>
      <c r="C8">
        <f t="shared" si="0"/>
        <v>2.5</v>
      </c>
      <c r="D8" s="22">
        <v>5</v>
      </c>
      <c r="E8" s="39">
        <f t="shared" si="1"/>
        <v>5.5555555555555552E-2</v>
      </c>
      <c r="F8">
        <f t="shared" si="2"/>
        <v>5.5</v>
      </c>
    </row>
    <row r="9" spans="2:13" ht="15">
      <c r="C9">
        <f>SUM(C3:C8)</f>
        <v>45</v>
      </c>
      <c r="D9" s="22">
        <f>SUM(D3:D8)</f>
        <v>90</v>
      </c>
      <c r="F9">
        <f>SUM(F3:F8)</f>
        <v>99</v>
      </c>
      <c r="G9">
        <f>(C9+(4*D9)+F9)/6</f>
        <v>84</v>
      </c>
    </row>
    <row r="10" spans="2:13" ht="15"/>
    <row r="11" spans="2:13" ht="15"/>
    <row r="12" spans="2:13" ht="15"/>
    <row r="15" spans="2:13" ht="15"/>
    <row r="17" spans="9:9" ht="15"/>
    <row r="18" spans="9:9" ht="15"/>
    <row r="19" spans="9:9" ht="15">
      <c r="I19" s="7" t="s">
        <v>397</v>
      </c>
    </row>
    <row r="20" spans="9:9" ht="15">
      <c r="I20" t="s">
        <v>398</v>
      </c>
    </row>
    <row r="21" spans="9:9" ht="15">
      <c r="I21" t="s">
        <v>399</v>
      </c>
    </row>
    <row r="22" spans="9:9" ht="15">
      <c r="I22" t="s">
        <v>400</v>
      </c>
    </row>
    <row r="23" spans="9:9" ht="15">
      <c r="I23" t="s">
        <v>401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F8419-4F5E-4A3C-870D-2B2D7E658366}">
  <dimension ref="A1:I5"/>
  <sheetViews>
    <sheetView workbookViewId="0">
      <selection activeCell="D17" sqref="D17"/>
    </sheetView>
  </sheetViews>
  <sheetFormatPr defaultRowHeight="14.45"/>
  <cols>
    <col min="1" max="1" width="6.7109375" customWidth="1"/>
    <col min="2" max="2" width="19.42578125" customWidth="1"/>
    <col min="3" max="3" width="20.140625" customWidth="1"/>
    <col min="4" max="4" width="51.140625" customWidth="1"/>
    <col min="5" max="5" width="12.42578125" customWidth="1"/>
    <col min="6" max="6" width="10" customWidth="1"/>
    <col min="7" max="7" width="7.7109375" customWidth="1"/>
    <col min="8" max="8" width="11.7109375" customWidth="1"/>
  </cols>
  <sheetData>
    <row r="1" spans="1:9">
      <c r="A1" s="7" t="s">
        <v>402</v>
      </c>
      <c r="B1" s="7"/>
      <c r="C1" s="32"/>
      <c r="D1" s="7"/>
      <c r="E1" s="7"/>
      <c r="F1" s="7"/>
      <c r="G1" s="7"/>
      <c r="H1" s="7"/>
    </row>
    <row r="2" spans="1:9" ht="15" thickBot="1">
      <c r="A2" s="3" t="s">
        <v>27</v>
      </c>
      <c r="B2" s="3" t="s">
        <v>28</v>
      </c>
      <c r="C2" s="33" t="s">
        <v>29</v>
      </c>
      <c r="D2" s="28" t="s">
        <v>30</v>
      </c>
      <c r="E2" s="26" t="s">
        <v>32</v>
      </c>
      <c r="F2" s="26" t="s">
        <v>33</v>
      </c>
      <c r="G2" s="26" t="s">
        <v>34</v>
      </c>
      <c r="H2" s="26" t="s">
        <v>35</v>
      </c>
      <c r="I2" s="26" t="s">
        <v>45</v>
      </c>
    </row>
    <row r="3" spans="1:9" ht="28.9">
      <c r="A3" s="4">
        <v>1</v>
      </c>
      <c r="B3" s="301" t="s">
        <v>403</v>
      </c>
      <c r="C3" s="35" t="s">
        <v>404</v>
      </c>
      <c r="D3" s="29" t="s">
        <v>405</v>
      </c>
      <c r="E3" s="1"/>
      <c r="F3" s="1"/>
      <c r="G3" s="1">
        <v>1</v>
      </c>
      <c r="H3" s="1" t="s">
        <v>64</v>
      </c>
      <c r="I3" s="1">
        <v>6</v>
      </c>
    </row>
    <row r="4" spans="1:9">
      <c r="A4" s="6"/>
      <c r="B4" s="273"/>
      <c r="C4" s="277" t="s">
        <v>406</v>
      </c>
      <c r="D4" s="31" t="s">
        <v>407</v>
      </c>
      <c r="E4" s="1"/>
      <c r="F4" s="1"/>
      <c r="G4" s="1">
        <v>1</v>
      </c>
      <c r="H4" s="1" t="s">
        <v>67</v>
      </c>
      <c r="I4" s="1">
        <v>6</v>
      </c>
    </row>
    <row r="5" spans="1:9">
      <c r="A5" s="5">
        <v>3</v>
      </c>
      <c r="B5" s="266"/>
      <c r="C5" s="278"/>
      <c r="D5" s="30" t="s">
        <v>406</v>
      </c>
      <c r="E5" s="1"/>
      <c r="F5" s="1"/>
      <c r="G5" s="1">
        <v>1</v>
      </c>
      <c r="H5" s="1" t="s">
        <v>67</v>
      </c>
      <c r="I5" s="1">
        <v>15</v>
      </c>
    </row>
  </sheetData>
  <mergeCells count="2">
    <mergeCell ref="B3:B5"/>
    <mergeCell ref="C4:C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6B230-835C-4D23-886D-27D1E2201A20}">
  <dimension ref="D3:M15"/>
  <sheetViews>
    <sheetView workbookViewId="0">
      <selection activeCell="C2" sqref="C2:M16"/>
    </sheetView>
  </sheetViews>
  <sheetFormatPr defaultRowHeight="15"/>
  <cols>
    <col min="5" max="5" width="16" bestFit="1" customWidth="1"/>
    <col min="6" max="6" width="23.85546875" customWidth="1"/>
    <col min="9" max="9" width="16" bestFit="1" customWidth="1"/>
  </cols>
  <sheetData>
    <row r="3" spans="4:13">
      <c r="D3" s="302" t="s">
        <v>408</v>
      </c>
      <c r="E3" s="302"/>
      <c r="F3" s="302"/>
      <c r="I3" s="302" t="s">
        <v>409</v>
      </c>
      <c r="J3" s="302"/>
      <c r="K3" s="302"/>
      <c r="L3" s="302"/>
      <c r="M3" s="302"/>
    </row>
    <row r="5" spans="4:13">
      <c r="D5" t="s">
        <v>410</v>
      </c>
      <c r="E5" t="s">
        <v>411</v>
      </c>
      <c r="F5" t="s">
        <v>33</v>
      </c>
      <c r="I5" t="s">
        <v>411</v>
      </c>
      <c r="J5" t="s">
        <v>412</v>
      </c>
      <c r="K5" t="s">
        <v>413</v>
      </c>
      <c r="L5" t="s">
        <v>414</v>
      </c>
      <c r="M5" t="s">
        <v>415</v>
      </c>
    </row>
    <row r="6" spans="4:13">
      <c r="D6" t="s">
        <v>412</v>
      </c>
      <c r="E6" s="205">
        <v>46120.473611111112</v>
      </c>
      <c r="F6">
        <v>15</v>
      </c>
      <c r="I6" s="205">
        <v>46120.474999999999</v>
      </c>
      <c r="J6">
        <v>15</v>
      </c>
      <c r="K6">
        <v>16</v>
      </c>
      <c r="L6">
        <v>17</v>
      </c>
      <c r="M6">
        <v>18</v>
      </c>
    </row>
    <row r="7" spans="4:13">
      <c r="D7" t="s">
        <v>413</v>
      </c>
      <c r="E7" s="205">
        <v>46121.473611111112</v>
      </c>
      <c r="F7">
        <v>16</v>
      </c>
      <c r="I7" s="205">
        <v>46121.474999942133</v>
      </c>
      <c r="J7">
        <v>16</v>
      </c>
      <c r="K7">
        <v>17</v>
      </c>
      <c r="L7">
        <v>17</v>
      </c>
      <c r="M7">
        <v>18</v>
      </c>
    </row>
    <row r="8" spans="4:13">
      <c r="D8" t="s">
        <v>414</v>
      </c>
      <c r="E8" s="205">
        <v>46122.473611111112</v>
      </c>
      <c r="F8">
        <v>17</v>
      </c>
      <c r="I8" s="205">
        <v>46122.474999942133</v>
      </c>
      <c r="J8">
        <v>17</v>
      </c>
      <c r="K8">
        <v>18</v>
      </c>
      <c r="L8">
        <v>17</v>
      </c>
      <c r="M8">
        <v>18</v>
      </c>
    </row>
    <row r="9" spans="4:13">
      <c r="D9" t="s">
        <v>415</v>
      </c>
      <c r="E9" s="205">
        <v>46123.473611111112</v>
      </c>
      <c r="F9">
        <v>18</v>
      </c>
      <c r="I9" s="205">
        <v>46123.474999942133</v>
      </c>
      <c r="J9">
        <v>18</v>
      </c>
      <c r="K9">
        <v>19</v>
      </c>
      <c r="L9">
        <v>17</v>
      </c>
      <c r="M9">
        <v>18</v>
      </c>
    </row>
    <row r="10" spans="4:13">
      <c r="D10" t="s">
        <v>416</v>
      </c>
      <c r="E10" s="205">
        <v>46124.473611111112</v>
      </c>
      <c r="F10">
        <v>19</v>
      </c>
      <c r="I10" s="205">
        <v>46124.474999942133</v>
      </c>
      <c r="J10">
        <v>19</v>
      </c>
      <c r="K10">
        <v>20</v>
      </c>
      <c r="L10">
        <v>17</v>
      </c>
      <c r="M10">
        <v>18</v>
      </c>
    </row>
    <row r="11" spans="4:13">
      <c r="D11" t="s">
        <v>417</v>
      </c>
      <c r="E11" s="205">
        <v>46125.473611111112</v>
      </c>
      <c r="F11">
        <v>20</v>
      </c>
      <c r="I11" s="205">
        <v>46125.474999942133</v>
      </c>
      <c r="J11">
        <v>20</v>
      </c>
      <c r="K11">
        <v>21</v>
      </c>
      <c r="L11">
        <v>17</v>
      </c>
      <c r="M11">
        <v>18</v>
      </c>
    </row>
    <row r="12" spans="4:13">
      <c r="D12" t="s">
        <v>418</v>
      </c>
      <c r="E12" s="205">
        <v>46126.473611111112</v>
      </c>
      <c r="F12">
        <v>21</v>
      </c>
      <c r="I12" s="205">
        <v>46126.474999942133</v>
      </c>
      <c r="J12">
        <v>21</v>
      </c>
      <c r="K12">
        <v>22</v>
      </c>
      <c r="L12">
        <v>17</v>
      </c>
      <c r="M12">
        <v>18</v>
      </c>
    </row>
    <row r="13" spans="4:13">
      <c r="D13" t="s">
        <v>419</v>
      </c>
      <c r="E13" s="205">
        <v>46127.473611111112</v>
      </c>
      <c r="F13">
        <v>22</v>
      </c>
    </row>
    <row r="14" spans="4:13">
      <c r="D14" t="s">
        <v>420</v>
      </c>
      <c r="E14" s="205">
        <v>46128.473611111112</v>
      </c>
      <c r="F14">
        <v>23</v>
      </c>
    </row>
    <row r="15" spans="4:13">
      <c r="D15" t="s">
        <v>421</v>
      </c>
      <c r="E15" s="205">
        <v>46129.473611111112</v>
      </c>
      <c r="F15">
        <v>24</v>
      </c>
    </row>
  </sheetData>
  <mergeCells count="2">
    <mergeCell ref="D3:F3"/>
    <mergeCell ref="I3:M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93694-C95A-479C-ACFE-234B000238B5}">
  <dimension ref="A1:D45"/>
  <sheetViews>
    <sheetView topLeftCell="A11" workbookViewId="0">
      <selection activeCell="B16" sqref="B16"/>
    </sheetView>
  </sheetViews>
  <sheetFormatPr defaultRowHeight="15"/>
  <cols>
    <col min="1" max="1" width="57.140625" bestFit="1" customWidth="1"/>
    <col min="2" max="2" width="39.140625" bestFit="1" customWidth="1"/>
    <col min="3" max="3" width="46.7109375" bestFit="1" customWidth="1"/>
    <col min="4" max="4" width="53" bestFit="1" customWidth="1"/>
  </cols>
  <sheetData>
    <row r="1" spans="1:4">
      <c r="A1" s="77" t="s">
        <v>422</v>
      </c>
      <c r="B1" s="77" t="s">
        <v>423</v>
      </c>
      <c r="C1" s="77" t="s">
        <v>424</v>
      </c>
      <c r="D1" s="77" t="s">
        <v>425</v>
      </c>
    </row>
    <row r="2" spans="1:4">
      <c r="A2" s="77" t="s">
        <v>426</v>
      </c>
      <c r="B2" s="74" t="s">
        <v>427</v>
      </c>
      <c r="C2" s="74" t="s">
        <v>427</v>
      </c>
      <c r="D2" s="74" t="s">
        <v>428</v>
      </c>
    </row>
    <row r="3" spans="1:4">
      <c r="A3" s="74"/>
      <c r="B3" s="74" t="s">
        <v>429</v>
      </c>
      <c r="C3" s="74" t="s">
        <v>429</v>
      </c>
      <c r="D3" s="74"/>
    </row>
    <row r="4" spans="1:4">
      <c r="A4" s="77" t="s">
        <v>430</v>
      </c>
      <c r="B4" s="74" t="s">
        <v>427</v>
      </c>
      <c r="C4" s="74" t="s">
        <v>427</v>
      </c>
      <c r="D4" s="74" t="s">
        <v>431</v>
      </c>
    </row>
    <row r="5" spans="1:4">
      <c r="A5" s="74"/>
      <c r="B5" s="74" t="s">
        <v>429</v>
      </c>
      <c r="C5" s="74" t="s">
        <v>429</v>
      </c>
      <c r="D5" s="74"/>
    </row>
    <row r="6" spans="1:4">
      <c r="A6" s="77" t="s">
        <v>432</v>
      </c>
      <c r="B6" s="74" t="s">
        <v>427</v>
      </c>
      <c r="C6" s="74" t="s">
        <v>433</v>
      </c>
      <c r="D6" s="74" t="s">
        <v>434</v>
      </c>
    </row>
    <row r="7" spans="1:4">
      <c r="A7" s="74"/>
      <c r="B7" s="74" t="s">
        <v>429</v>
      </c>
      <c r="C7" s="74" t="s">
        <v>429</v>
      </c>
      <c r="D7" s="74"/>
    </row>
    <row r="8" spans="1:4">
      <c r="A8" s="77" t="s">
        <v>435</v>
      </c>
      <c r="B8" s="77" t="s">
        <v>436</v>
      </c>
      <c r="C8" s="77" t="s">
        <v>437</v>
      </c>
      <c r="D8" s="74" t="s">
        <v>438</v>
      </c>
    </row>
    <row r="9" spans="1:4">
      <c r="A9" s="77" t="s">
        <v>439</v>
      </c>
      <c r="B9" s="77" t="s">
        <v>440</v>
      </c>
      <c r="C9" s="77" t="s">
        <v>441</v>
      </c>
      <c r="D9" s="74" t="s">
        <v>442</v>
      </c>
    </row>
    <row r="10" spans="1:4">
      <c r="A10" s="77" t="s">
        <v>443</v>
      </c>
      <c r="B10" s="74" t="s">
        <v>444</v>
      </c>
      <c r="C10" s="74" t="s">
        <v>445</v>
      </c>
      <c r="D10" s="74" t="s">
        <v>446</v>
      </c>
    </row>
    <row r="15" spans="1:4">
      <c r="A15" s="1" t="s">
        <v>63</v>
      </c>
      <c r="B15">
        <f>COUNTA(A15:A45)</f>
        <v>31</v>
      </c>
    </row>
    <row r="16" spans="1:4">
      <c r="A16" s="1" t="s">
        <v>66</v>
      </c>
    </row>
    <row r="17" spans="1:3">
      <c r="A17" s="8" t="s">
        <v>70</v>
      </c>
    </row>
    <row r="18" spans="1:3">
      <c r="A18" s="64" t="s">
        <v>63</v>
      </c>
      <c r="C18" t="s">
        <v>447</v>
      </c>
    </row>
    <row r="19" spans="1:3">
      <c r="A19" s="1" t="s">
        <v>86</v>
      </c>
    </row>
    <row r="20" spans="1:3">
      <c r="A20" s="1" t="s">
        <v>86</v>
      </c>
    </row>
    <row r="21" spans="1:3">
      <c r="A21" s="1" t="s">
        <v>86</v>
      </c>
    </row>
    <row r="22" spans="1:3">
      <c r="A22" s="1" t="s">
        <v>86</v>
      </c>
    </row>
    <row r="23" spans="1:3">
      <c r="A23" s="1" t="s">
        <v>86</v>
      </c>
    </row>
    <row r="24" spans="1:3">
      <c r="A24" s="1" t="s">
        <v>86</v>
      </c>
    </row>
    <row r="25" spans="1:3">
      <c r="A25" s="1" t="s">
        <v>86</v>
      </c>
    </row>
    <row r="26" spans="1:3">
      <c r="A26" s="1" t="s">
        <v>86</v>
      </c>
    </row>
    <row r="27" spans="1:3">
      <c r="A27" s="1" t="s">
        <v>86</v>
      </c>
    </row>
    <row r="28" spans="1:3">
      <c r="A28" s="1" t="s">
        <v>86</v>
      </c>
    </row>
    <row r="29" spans="1:3">
      <c r="A29" s="1" t="s">
        <v>63</v>
      </c>
    </row>
    <row r="30" spans="1:3">
      <c r="A30" s="1" t="s">
        <v>63</v>
      </c>
    </row>
    <row r="31" spans="1:3">
      <c r="A31" s="1" t="s">
        <v>63</v>
      </c>
    </row>
    <row r="32" spans="1:3">
      <c r="A32" s="1" t="s">
        <v>63</v>
      </c>
    </row>
    <row r="33" spans="1:1">
      <c r="A33" s="1" t="s">
        <v>63</v>
      </c>
    </row>
    <row r="34" spans="1:1">
      <c r="A34" s="1" t="s">
        <v>63</v>
      </c>
    </row>
    <row r="35" spans="1:1">
      <c r="A35" s="1" t="s">
        <v>63</v>
      </c>
    </row>
    <row r="36" spans="1:1">
      <c r="A36" s="1" t="s">
        <v>70</v>
      </c>
    </row>
    <row r="37" spans="1:1">
      <c r="A37" s="1" t="s">
        <v>70</v>
      </c>
    </row>
    <row r="38" spans="1:1">
      <c r="A38" s="1" t="s">
        <v>70</v>
      </c>
    </row>
    <row r="39" spans="1:1">
      <c r="A39" s="1" t="s">
        <v>63</v>
      </c>
    </row>
    <row r="40" spans="1:1">
      <c r="A40" s="1" t="s">
        <v>63</v>
      </c>
    </row>
    <row r="41" spans="1:1">
      <c r="A41" s="1" t="s">
        <v>63</v>
      </c>
    </row>
    <row r="42" spans="1:1">
      <c r="A42" s="1" t="s">
        <v>70</v>
      </c>
    </row>
    <row r="43" spans="1:1">
      <c r="A43" s="1" t="s">
        <v>154</v>
      </c>
    </row>
    <row r="44" spans="1:1">
      <c r="A44" s="1" t="s">
        <v>70</v>
      </c>
    </row>
    <row r="45" spans="1:1">
      <c r="A45" s="1" t="s">
        <v>63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5F013-9E33-4248-AE80-E7C52CFC1A48}">
  <dimension ref="A1:H17"/>
  <sheetViews>
    <sheetView workbookViewId="0">
      <selection activeCell="C13" sqref="C13"/>
    </sheetView>
  </sheetViews>
  <sheetFormatPr defaultRowHeight="15"/>
  <cols>
    <col min="2" max="2" width="29.42578125" customWidth="1"/>
    <col min="3" max="3" width="13.28515625" bestFit="1" customWidth="1"/>
    <col min="4" max="4" width="10.7109375" bestFit="1" customWidth="1"/>
    <col min="5" max="5" width="7.5703125" bestFit="1" customWidth="1"/>
  </cols>
  <sheetData>
    <row r="1" spans="1:8">
      <c r="B1" s="7" t="s">
        <v>10</v>
      </c>
      <c r="C1" s="7" t="s">
        <v>448</v>
      </c>
      <c r="D1" s="7" t="s">
        <v>449</v>
      </c>
      <c r="E1" s="7" t="s">
        <v>450</v>
      </c>
    </row>
    <row r="2" spans="1:8">
      <c r="B2" t="s">
        <v>451</v>
      </c>
      <c r="D2">
        <v>31</v>
      </c>
      <c r="E2">
        <v>2</v>
      </c>
    </row>
    <row r="3" spans="1:8">
      <c r="B3" t="s">
        <v>452</v>
      </c>
      <c r="H3" t="s">
        <v>453</v>
      </c>
    </row>
    <row r="4" spans="1:8">
      <c r="B4" t="s">
        <v>454</v>
      </c>
      <c r="H4" t="s">
        <v>455</v>
      </c>
    </row>
    <row r="5" spans="1:8">
      <c r="B5" t="s">
        <v>456</v>
      </c>
    </row>
    <row r="6" spans="1:8">
      <c r="B6" t="s">
        <v>15</v>
      </c>
    </row>
    <row r="7" spans="1:8">
      <c r="B7" t="s">
        <v>457</v>
      </c>
    </row>
    <row r="10" spans="1:8">
      <c r="E10" t="s">
        <v>458</v>
      </c>
      <c r="F10" t="s">
        <v>342</v>
      </c>
      <c r="G10" t="s">
        <v>342</v>
      </c>
      <c r="H10" t="s">
        <v>342</v>
      </c>
    </row>
    <row r="11" spans="1:8">
      <c r="A11" t="s">
        <v>459</v>
      </c>
      <c r="B11" t="s">
        <v>10</v>
      </c>
      <c r="C11" t="s">
        <v>460</v>
      </c>
      <c r="D11" t="s">
        <v>169</v>
      </c>
      <c r="E11" t="s">
        <v>12</v>
      </c>
      <c r="F11" t="s">
        <v>461</v>
      </c>
      <c r="G11" t="s">
        <v>462</v>
      </c>
      <c r="H11" t="s">
        <v>463</v>
      </c>
    </row>
    <row r="12" spans="1:8">
      <c r="A12" t="s">
        <v>464</v>
      </c>
      <c r="C12" t="s">
        <v>465</v>
      </c>
      <c r="F12">
        <v>250</v>
      </c>
      <c r="G12">
        <v>125</v>
      </c>
      <c r="H12">
        <v>124</v>
      </c>
    </row>
    <row r="13" spans="1:8">
      <c r="A13" t="s">
        <v>466</v>
      </c>
    </row>
    <row r="14" spans="1:8">
      <c r="A14" t="s">
        <v>467</v>
      </c>
    </row>
    <row r="15" spans="1:8">
      <c r="A15" t="s">
        <v>468</v>
      </c>
    </row>
    <row r="16" spans="1:8">
      <c r="A16" t="s">
        <v>469</v>
      </c>
    </row>
    <row r="17" spans="1:1">
      <c r="A17" t="s">
        <v>470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3f89fb3a-1354-4be7-8909-a5bd189411c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5CE7A919F3D4546896D9FF232927007" ma:contentTypeVersion="17" ma:contentTypeDescription="Create a new document." ma:contentTypeScope="" ma:versionID="f057190b7d8b8fada5e406fd87f2a89c">
  <xsd:schema xmlns:xsd="http://www.w3.org/2001/XMLSchema" xmlns:xs="http://www.w3.org/2001/XMLSchema" xmlns:p="http://schemas.microsoft.com/office/2006/metadata/properties" xmlns:ns3="3f89fb3a-1354-4be7-8909-a5bd189411c5" xmlns:ns4="ef6353da-59dd-4e18-adbf-c03bf4af6d49" targetNamespace="http://schemas.microsoft.com/office/2006/metadata/properties" ma:root="true" ma:fieldsID="f2b945e429cda5d443b03194b5ff28b4" ns3:_="" ns4:_="">
    <xsd:import namespace="3f89fb3a-1354-4be7-8909-a5bd189411c5"/>
    <xsd:import namespace="ef6353da-59dd-4e18-adbf-c03bf4af6d49"/>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DateTaken" minOccurs="0"/>
                <xsd:element ref="ns3:MediaLengthInSeconds" minOccurs="0"/>
                <xsd:element ref="ns3:MediaServiceSearchProperties" minOccurs="0"/>
                <xsd:element ref="ns3:_activity" minOccurs="0"/>
                <xsd:element ref="ns3:MediaServiceObjectDetectorVersion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89fb3a-1354-4be7-8909-a5bd189411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f6353da-59dd-4e18-adbf-c03bf4af6d4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409BB86-3AA2-4DA5-A240-6B6C432C03E5}"/>
</file>

<file path=customXml/itemProps2.xml><?xml version="1.0" encoding="utf-8"?>
<ds:datastoreItem xmlns:ds="http://schemas.openxmlformats.org/officeDocument/2006/customXml" ds:itemID="{E9F92631-8785-4DA8-8476-8F4117FD2AD0}"/>
</file>

<file path=customXml/itemProps3.xml><?xml version="1.0" encoding="utf-8"?>
<ds:datastoreItem xmlns:ds="http://schemas.openxmlformats.org/officeDocument/2006/customXml" ds:itemID="{6F2E42C7-B2A6-46FA-B52F-CF7010468CF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Imran Ashraf</dc:creator>
  <cp:keywords/>
  <dc:description/>
  <cp:lastModifiedBy/>
  <cp:revision/>
  <dcterms:created xsi:type="dcterms:W3CDTF">2026-01-21T07:53:06Z</dcterms:created>
  <dcterms:modified xsi:type="dcterms:W3CDTF">2026-04-22T10:18:08Z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0x01010085CE7A919F3D4546896D9FF232927007</vt:lpwstr>
  </property>
</Properties>
</file>
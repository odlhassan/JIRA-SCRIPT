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19416" windowHeight="11496" tabRatio="600" firstSheet="7" activeTab="7" autoFilterDateGrouping="1"/>
  </bookViews>
  <sheets>
    <sheet xmlns:r="http://schemas.openxmlformats.org/officeDocument/2006/relationships" name="Summary" sheetId="1" state="visible" r:id="rId1"/>
    <sheet xmlns:r="http://schemas.openxmlformats.org/officeDocument/2006/relationships" name="OmniConnect RMI" sheetId="2" state="visible" r:id="rId2"/>
    <sheet xmlns:r="http://schemas.openxmlformats.org/officeDocument/2006/relationships" name="Sheet6" sheetId="3" state="hidden" r:id="rId3"/>
    <sheet xmlns:r="http://schemas.openxmlformats.org/officeDocument/2006/relationships" name="Fintech Fuel RMI" sheetId="4" state="visible" r:id="rId4"/>
    <sheet xmlns:r="http://schemas.openxmlformats.org/officeDocument/2006/relationships" name="OmniChat RMI" sheetId="5" state="visible" r:id="rId5"/>
    <sheet xmlns:r="http://schemas.openxmlformats.org/officeDocument/2006/relationships" name="Sheet4" sheetId="6" state="hidden" r:id="rId6"/>
    <sheet xmlns:r="http://schemas.openxmlformats.org/officeDocument/2006/relationships" name="Sheet1" sheetId="7" state="hidden" r:id="rId7"/>
    <sheet xmlns:r="http://schemas.openxmlformats.org/officeDocument/2006/relationships" name="Digital Log RMI" sheetId="8" state="visible" r:id="rId8"/>
    <sheet xmlns:r="http://schemas.openxmlformats.org/officeDocument/2006/relationships" name="Support" sheetId="9" state="visible" r:id="rId9"/>
    <sheet xmlns:r="http://schemas.openxmlformats.org/officeDocument/2006/relationships" name="Technical Support Raw Data" sheetId="10" state="visible" r:id="rId10"/>
    <sheet xmlns:r="http://schemas.openxmlformats.org/officeDocument/2006/relationships" name="Settings" sheetId="11" state="visible" r:id="rId11"/>
    <sheet xmlns:r="http://schemas.openxmlformats.org/officeDocument/2006/relationships" name="Misc" sheetId="12" state="hidden" r:id="rId12"/>
    <sheet xmlns:r="http://schemas.openxmlformats.org/officeDocument/2006/relationships" name="Sheet3" sheetId="13" state="hidden" r:id="rId13"/>
    <sheet xmlns:r="http://schemas.openxmlformats.org/officeDocument/2006/relationships" name="Sheet2" sheetId="14" state="visible" r:id="rId14"/>
    <sheet xmlns:r="http://schemas.openxmlformats.org/officeDocument/2006/relationships" name="Sheet5" sheetId="15" state="visible" r:id="rId15"/>
  </sheets>
  <definedNames>
    <definedName name="_xlnm._FilterDatabase" localSheetId="3" hidden="1">'Fintech Fuel RMI'!$A$2:$AP$56</definedName>
  </definedNames>
  <calcPr calcId="191029" fullCalcOnLoad="1" forceFullCalc="1"/>
</workbook>
</file>

<file path=xl/styles.xml><?xml version="1.0" encoding="utf-8"?>
<styleSheet xmlns="http://schemas.openxmlformats.org/spreadsheetml/2006/main">
  <numFmts count="2">
    <numFmt numFmtId="164" formatCode="[$-409]d\-mmm;@"/>
    <numFmt numFmtId="165" formatCode="0.0"/>
  </numFmts>
  <fonts count="41">
    <font>
      <name val="Calibri"/>
      <family val="2"/>
      <color theme="1"/>
      <sz val="11"/>
      <scheme val="minor"/>
    </font>
    <font>
      <name val="Calibri"/>
      <color theme="1"/>
      <sz val="11"/>
      <scheme val="minor"/>
    </font>
    <font>
      <name val="Calibri"/>
      <color theme="1"/>
      <sz val="11"/>
      <scheme val="minor"/>
    </font>
    <font>
      <name val="Calibri"/>
      <family val="2"/>
      <b val="1"/>
      <color theme="1"/>
      <sz val="11"/>
      <scheme val="minor"/>
    </font>
    <font>
      <name val="Calibri"/>
      <family val="2"/>
      <color rgb="FF000000"/>
      <sz val="11"/>
      <scheme val="minor"/>
    </font>
    <font>
      <name val="Calibri"/>
      <color rgb="FF000000"/>
      <sz val="11"/>
      <scheme val="minor"/>
    </font>
    <font>
      <name val="Aptos Narrow"/>
      <color rgb="FF000000"/>
      <sz val="11"/>
    </font>
    <font>
      <name val="Arial"/>
      <charset val="1"/>
      <color rgb="FF000000"/>
      <sz val="10"/>
    </font>
    <font>
      <name val="Calibri"/>
      <color rgb="FF000000"/>
      <sz val="11"/>
    </font>
    <font>
      <name val="Calibri"/>
      <family val="2"/>
      <color theme="1"/>
      <sz val="11"/>
      <scheme val="minor"/>
    </font>
    <font>
      <name val="Calibri"/>
      <family val="2"/>
      <color rgb="FF006100"/>
      <sz val="11"/>
      <scheme val="minor"/>
    </font>
    <font>
      <name val="Calibri"/>
      <family val="2"/>
      <b val="1"/>
      <color rgb="FF006100"/>
      <sz val="11"/>
      <scheme val="minor"/>
    </font>
    <font>
      <name val="Calibri"/>
      <family val="2"/>
      <b val="1"/>
      <color rgb="FFC00000"/>
      <sz val="11"/>
      <scheme val="minor"/>
    </font>
    <font>
      <name val="Calibri"/>
      <family val="2"/>
      <color rgb="FF000000"/>
      <sz val="11"/>
    </font>
    <font>
      <name val="Calibri"/>
      <b val="1"/>
      <color theme="1"/>
      <sz val="11"/>
      <scheme val="minor"/>
    </font>
    <font>
      <name val="Calibri"/>
      <family val="2"/>
      <color theme="1"/>
      <sz val="14"/>
      <scheme val="minor"/>
    </font>
    <font>
      <name val="Calibri"/>
      <family val="2"/>
      <b val="1"/>
      <color theme="1"/>
      <sz val="14"/>
      <scheme val="minor"/>
    </font>
    <font>
      <name val="Calibri"/>
      <b val="1"/>
      <color rgb="FF006100"/>
      <sz val="11"/>
      <scheme val="minor"/>
    </font>
    <font>
      <name val="Calibri"/>
      <b val="1"/>
      <color rgb="FFC00000"/>
      <sz val="11"/>
      <scheme val="minor"/>
    </font>
    <font>
      <name val="Calibri"/>
      <family val="2"/>
      <b val="1"/>
      <color theme="5" tint="-0.249977111117893"/>
      <sz val="16"/>
      <scheme val="minor"/>
    </font>
    <font>
      <name val="Calibri"/>
      <family val="2"/>
      <b val="1"/>
      <color theme="1"/>
      <sz val="18"/>
      <scheme val="minor"/>
    </font>
    <font>
      <name val="Calibri"/>
      <family val="2"/>
      <b val="1"/>
      <color theme="1"/>
      <sz val="20"/>
      <scheme val="minor"/>
    </font>
    <font>
      <name val="Calibri"/>
      <family val="2"/>
      <color theme="1"/>
      <sz val="20"/>
      <scheme val="minor"/>
    </font>
    <font>
      <name val="Calibri"/>
      <family val="2"/>
      <color theme="9" tint="-0.249977111117893"/>
      <sz val="20"/>
      <scheme val="minor"/>
    </font>
    <font>
      <name val="Calibri"/>
      <family val="2"/>
      <color theme="5" tint="-0.249977111117893"/>
      <sz val="20"/>
      <scheme val="minor"/>
    </font>
    <font>
      <name val="Calibri"/>
      <family val="2"/>
      <color theme="4"/>
      <sz val="20"/>
      <scheme val="minor"/>
    </font>
    <font>
      <name val="Calibri"/>
      <family val="2"/>
      <b val="1"/>
      <i val="1"/>
      <color theme="1"/>
      <sz val="20"/>
      <scheme val="minor"/>
    </font>
    <font>
      <name val="Calibri"/>
      <family val="2"/>
      <b val="1"/>
      <i val="1"/>
      <color theme="9"/>
      <sz val="20"/>
      <scheme val="minor"/>
    </font>
    <font>
      <name val="Calibri"/>
      <family val="2"/>
      <b val="1"/>
      <i val="1"/>
      <color theme="5"/>
      <sz val="20"/>
      <scheme val="minor"/>
    </font>
    <font>
      <name val="Calibri"/>
      <family val="2"/>
      <b val="1"/>
      <i val="1"/>
      <color theme="4"/>
      <sz val="20"/>
      <scheme val="minor"/>
    </font>
    <font>
      <name val="Calibri"/>
      <family val="2"/>
      <i val="1"/>
      <color theme="1" tint="0.499984740745262"/>
      <sz val="20"/>
      <scheme val="minor"/>
    </font>
    <font>
      <name val="Calibri"/>
      <family val="2"/>
      <b val="1"/>
      <color rgb="FFFF0000"/>
      <sz val="11"/>
      <scheme val="minor"/>
    </font>
    <font>
      <name val="Calibri"/>
      <b val="1"/>
      <color rgb="FFFF0000"/>
      <sz val="11"/>
    </font>
    <font>
      <name val="Calibri"/>
      <family val="2"/>
      <color theme="1"/>
      <sz val="11"/>
      <u val="single"/>
      <scheme val="minor"/>
    </font>
    <font>
      <name val="Calibri"/>
      <charset val="1"/>
      <color rgb="FF000000"/>
      <sz val="11"/>
    </font>
    <font>
      <name val="Calibri"/>
      <family val="2"/>
      <b val="1"/>
      <color rgb="FFFF0000"/>
      <sz val="20"/>
      <scheme val="minor"/>
    </font>
    <font>
      <name val="Calibri"/>
      <family val="2"/>
      <color rgb="FFFF0000"/>
      <sz val="20"/>
      <scheme val="minor"/>
    </font>
    <font>
      <name val="Calibri"/>
      <family val="2"/>
      <b val="1"/>
      <i val="1"/>
      <color rgb="FFFF0000"/>
      <sz val="20"/>
      <scheme val="minor"/>
    </font>
    <font>
      <name val="Calibri"/>
      <family val="2"/>
      <strike val="1"/>
      <color rgb="FF000000"/>
      <sz val="11"/>
      <scheme val="minor"/>
    </font>
    <font>
      <name val="Calibri"/>
      <family val="2"/>
      <b val="1"/>
      <color theme="1"/>
      <sz val="36"/>
      <scheme val="minor"/>
    </font>
    <font>
      <name val="Calibri"/>
      <family val="2"/>
      <color theme="10"/>
      <sz val="11"/>
      <u val="single"/>
      <scheme val="minor"/>
    </font>
  </fonts>
  <fills count="18">
    <fill>
      <patternFill/>
    </fill>
    <fill>
      <patternFill patternType="gray125"/>
    </fill>
    <fill>
      <patternFill patternType="solid">
        <fgColor rgb="FFFFFF00"/>
        <bgColor indexed="64"/>
      </patternFill>
    </fill>
    <fill>
      <patternFill patternType="solid">
        <fgColor theme="5" tint="0.7999816888943144"/>
        <bgColor indexed="64"/>
      </patternFill>
    </fill>
    <fill>
      <patternFill patternType="solid">
        <fgColor rgb="FFC6EFCE"/>
      </patternFill>
    </fill>
    <fill>
      <patternFill patternType="solid">
        <fgColor theme="2"/>
        <bgColor indexed="64"/>
      </patternFill>
    </fill>
    <fill>
      <patternFill patternType="solid">
        <fgColor theme="0" tint="-0.0499893185216834"/>
        <bgColor indexed="64"/>
      </patternFill>
    </fill>
    <fill>
      <patternFill patternType="solid">
        <fgColor theme="6" tint="0.7999816888943144"/>
        <bgColor indexed="64"/>
      </patternFill>
    </fill>
    <fill>
      <patternFill patternType="solid">
        <fgColor theme="7" tint="0.7999816888943144"/>
        <bgColor indexed="64"/>
      </patternFill>
    </fill>
    <fill>
      <patternFill patternType="solid">
        <fgColor theme="8" tint="0.7999816888943144"/>
        <bgColor indexed="64"/>
      </patternFill>
    </fill>
    <fill>
      <patternFill patternType="solid">
        <fgColor rgb="FFFFFF00"/>
        <bgColor rgb="FF000000"/>
      </patternFill>
    </fill>
    <fill>
      <patternFill patternType="solid">
        <fgColor theme="9" tint="0.7999816888943144"/>
        <bgColor indexed="64"/>
      </patternFill>
    </fill>
    <fill>
      <patternFill patternType="solid">
        <fgColor theme="7" tint="0.5999938962981048"/>
        <bgColor indexed="64"/>
      </patternFill>
    </fill>
    <fill>
      <patternFill patternType="solid">
        <fgColor theme="0"/>
        <bgColor indexed="64"/>
      </patternFill>
    </fill>
    <fill>
      <patternFill patternType="solid">
        <fgColor theme="9" tint="0.5999938962981048"/>
        <bgColor indexed="64"/>
      </patternFill>
    </fill>
    <fill>
      <patternFill patternType="solid">
        <fgColor rgb="FFF2F2F2"/>
        <bgColor rgb="FF000000"/>
      </patternFill>
    </fill>
    <fill>
      <patternFill patternType="solid">
        <fgColor rgb="FFFFF2F2"/>
        <bgColor indexed="64"/>
      </patternFill>
    </fill>
    <fill>
      <patternFill patternType="solid">
        <fgColor rgb="FF92D050"/>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style="medium">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style="thin">
        <color indexed="64"/>
      </right>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top style="thick">
        <color rgb="FF000000"/>
      </top>
      <bottom/>
      <diagonal/>
    </border>
    <border>
      <left/>
      <right/>
      <top/>
      <bottom style="thin">
        <color rgb="FF000000"/>
      </bottom>
      <diagonal/>
    </border>
    <border>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theme="0" tint="-0.499984740745262"/>
      </left>
      <right/>
      <top/>
      <bottom/>
      <diagonal/>
    </border>
    <border>
      <left style="thin">
        <color theme="0" tint="-0.499984740745262"/>
      </left>
      <right/>
      <top/>
      <bottom style="thin">
        <color rgb="FF000000"/>
      </bottom>
      <diagonal/>
    </border>
    <border>
      <left style="thin">
        <color theme="0" tint="-0.499984740745262"/>
      </left>
      <right/>
      <top style="thin">
        <color theme="0" tint="-0.499984740745262"/>
      </top>
      <bottom style="thin">
        <color theme="0" tint="-0.499984740745262"/>
      </bottom>
      <diagonal/>
    </border>
    <border>
      <left style="thin">
        <color rgb="FF000000"/>
      </left>
      <right style="thin">
        <color rgb="FF000000"/>
      </right>
      <top/>
      <bottom style="thin">
        <color rgb="FF000000"/>
      </bottom>
      <diagonal/>
    </border>
    <border>
      <left style="thin">
        <color theme="0" tint="-0.499984740745262"/>
      </left>
      <right style="thin">
        <color theme="0" tint="-0.499984740745262"/>
      </right>
      <top style="thin">
        <color theme="0" tint="-0.499984740745262"/>
      </top>
      <bottom/>
      <diagonal/>
    </border>
    <border>
      <left style="thin">
        <color rgb="FF000000"/>
      </left>
      <right style="thin">
        <color rgb="FF000000"/>
      </right>
      <top style="thin">
        <color rgb="FF000000"/>
      </top>
      <bottom/>
      <diagonal/>
    </border>
    <border>
      <left style="thin">
        <color theme="0" tint="-0.499984740745262"/>
      </left>
      <right style="thin">
        <color theme="0" tint="-0.499984740745262"/>
      </right>
      <top/>
      <bottom style="thin">
        <color theme="0" tint="-0.499984740745262"/>
      </bottom>
      <diagonal/>
    </border>
    <border>
      <left style="thin">
        <color rgb="FF000000"/>
      </left>
      <right style="thin">
        <color rgb="FF000000"/>
      </right>
      <top/>
      <bottom/>
      <diagonal/>
    </border>
    <border>
      <left style="thin">
        <color rgb="FF000000"/>
      </left>
      <right/>
      <top style="medium">
        <color rgb="FF000000"/>
      </top>
      <bottom style="thin">
        <color rgb="FF000000"/>
      </bottom>
      <diagonal/>
    </border>
    <border>
      <left style="thin">
        <color rgb="FF000000"/>
      </left>
      <right/>
      <top style="thin">
        <color rgb="FF000000"/>
      </top>
      <bottom style="medium">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indexed="64"/>
      </left>
      <right/>
      <top/>
      <bottom/>
      <diagonal/>
    </border>
    <border>
      <left style="thin">
        <color rgb="FF000000"/>
      </left>
      <right/>
      <top/>
      <bottom/>
      <diagonal/>
    </border>
    <border>
      <left/>
      <right style="thin">
        <color rgb="FF000000"/>
      </right>
      <top style="medium">
        <color rgb="FF000000"/>
      </top>
      <bottom/>
      <diagonal/>
    </border>
  </borders>
  <cellStyleXfs count="4">
    <xf numFmtId="0" fontId="9" fillId="0" borderId="0"/>
    <xf numFmtId="9" fontId="9" fillId="0" borderId="0"/>
    <xf numFmtId="0" fontId="10" fillId="4" borderId="0"/>
    <xf numFmtId="0" fontId="40" fillId="0" borderId="0"/>
  </cellStyleXfs>
  <cellXfs count="326">
    <xf numFmtId="0" fontId="0" fillId="0" borderId="0" pivotButton="0" quotePrefix="0" xfId="0"/>
    <xf numFmtId="0" fontId="0" fillId="0" borderId="1" pivotButton="0" quotePrefix="0" xfId="0"/>
    <xf numFmtId="0" fontId="4" fillId="0" borderId="1" applyAlignment="1" pivotButton="0" quotePrefix="0" xfId="0">
      <alignment horizontal="left" wrapText="1"/>
    </xf>
    <xf numFmtId="0" fontId="3" fillId="0" borderId="2" pivotButton="0" quotePrefix="0" xfId="0"/>
    <xf numFmtId="0" fontId="0" fillId="0" borderId="3" pivotButton="0" quotePrefix="0" xfId="0"/>
    <xf numFmtId="0" fontId="0" fillId="0" borderId="5" pivotButton="0" quotePrefix="0" xfId="0"/>
    <xf numFmtId="0" fontId="0" fillId="0" borderId="6" pivotButton="0" quotePrefix="0" xfId="0"/>
    <xf numFmtId="0" fontId="3" fillId="0" borderId="0" pivotButton="0" quotePrefix="0" xfId="0"/>
    <xf numFmtId="0" fontId="5" fillId="0" borderId="9" applyAlignment="1" pivotButton="0" quotePrefix="0" xfId="0">
      <alignment readingOrder="1"/>
    </xf>
    <xf numFmtId="0" fontId="6" fillId="0" borderId="9" pivotButton="0" quotePrefix="0" xfId="0"/>
    <xf numFmtId="0" fontId="7" fillId="0" borderId="9" applyAlignment="1" pivotButton="0" quotePrefix="0" xfId="0">
      <alignment readingOrder="1"/>
    </xf>
    <xf numFmtId="15" fontId="8" fillId="0" borderId="9" pivotButton="0" quotePrefix="0" xfId="0"/>
    <xf numFmtId="0" fontId="7" fillId="0" borderId="10" applyAlignment="1" pivotButton="0" quotePrefix="0" xfId="0">
      <alignment readingOrder="1"/>
    </xf>
    <xf numFmtId="0" fontId="8" fillId="0" borderId="9" applyAlignment="1" pivotButton="0" quotePrefix="0" xfId="0">
      <alignment wrapText="1"/>
    </xf>
    <xf numFmtId="0" fontId="5" fillId="0" borderId="9" applyAlignment="1" pivotButton="0" quotePrefix="0" xfId="0">
      <alignment wrapText="1"/>
    </xf>
    <xf numFmtId="0" fontId="8" fillId="0" borderId="9" pivotButton="0" quotePrefix="0" xfId="0"/>
    <xf numFmtId="0" fontId="8" fillId="0" borderId="10" pivotButton="0" quotePrefix="0" xfId="0"/>
    <xf numFmtId="15" fontId="8" fillId="0" borderId="9" applyAlignment="1" pivotButton="0" quotePrefix="0" xfId="0">
      <alignment wrapText="1"/>
    </xf>
    <xf numFmtId="0" fontId="5" fillId="0" borderId="9" applyAlignment="1" pivotButton="0" quotePrefix="0" xfId="0">
      <alignment wrapText="1" readingOrder="1"/>
    </xf>
    <xf numFmtId="0" fontId="0" fillId="0" borderId="0" applyAlignment="1" pivotButton="0" quotePrefix="0" xfId="0">
      <alignment wrapText="1"/>
    </xf>
    <xf numFmtId="0" fontId="5" fillId="2" borderId="9" applyAlignment="1" pivotButton="0" quotePrefix="0" xfId="0">
      <alignment readingOrder="1"/>
    </xf>
    <xf numFmtId="0" fontId="0" fillId="2" borderId="0" pivotButton="0" quotePrefix="0" xfId="0"/>
    <xf numFmtId="0" fontId="5" fillId="2" borderId="9" applyAlignment="1" pivotButton="0" quotePrefix="0" xfId="0">
      <alignment wrapText="1"/>
    </xf>
    <xf numFmtId="0" fontId="0" fillId="0" borderId="1" applyAlignment="1" pivotButton="0" quotePrefix="0" xfId="0">
      <alignment vertical="center"/>
    </xf>
    <xf numFmtId="0" fontId="0" fillId="0" borderId="1" applyAlignment="1" pivotButton="0" quotePrefix="0" xfId="0">
      <alignment horizontal="center" vertical="center"/>
    </xf>
    <xf numFmtId="0" fontId="3" fillId="0" borderId="1" pivotButton="0" quotePrefix="0" xfId="0"/>
    <xf numFmtId="0" fontId="4" fillId="0" borderId="1" applyAlignment="1" pivotButton="0" quotePrefix="0" xfId="0">
      <alignment wrapText="1"/>
    </xf>
    <xf numFmtId="0" fontId="3" fillId="0" borderId="12" pivotButton="0" quotePrefix="0" xfId="0"/>
    <xf numFmtId="0" fontId="0" fillId="0" borderId="13" pivotButton="0" quotePrefix="0" xfId="0"/>
    <xf numFmtId="0" fontId="0" fillId="0" borderId="11" pivotButton="0" quotePrefix="0" xfId="0"/>
    <xf numFmtId="0" fontId="0" fillId="0" borderId="14" pivotButton="0" quotePrefix="0" xfId="0"/>
    <xf numFmtId="0" fontId="3" fillId="0" borderId="0" applyAlignment="1" pivotButton="0" quotePrefix="0" xfId="0">
      <alignment wrapText="1"/>
    </xf>
    <xf numFmtId="0" fontId="3" fillId="0" borderId="2" applyAlignment="1" pivotButton="0" quotePrefix="0" xfId="0">
      <alignment wrapText="1"/>
    </xf>
    <xf numFmtId="0" fontId="0" fillId="0" borderId="1" applyAlignment="1" pivotButton="0" quotePrefix="0" xfId="0">
      <alignment wrapText="1"/>
    </xf>
    <xf numFmtId="0" fontId="0" fillId="0" borderId="4" applyAlignment="1" pivotButton="0" quotePrefix="0" xfId="0">
      <alignment horizontal="left" vertical="center" wrapText="1"/>
    </xf>
    <xf numFmtId="9" fontId="0" fillId="0" borderId="0" pivotButton="0" quotePrefix="0" xfId="0"/>
    <xf numFmtId="9" fontId="0" fillId="0" borderId="0" pivotButton="0" quotePrefix="0" xfId="1"/>
    <xf numFmtId="0" fontId="0" fillId="5" borderId="16" applyAlignment="1" pivotButton="0" quotePrefix="0" xfId="0">
      <alignment horizontal="center" vertical="center"/>
    </xf>
    <xf numFmtId="0" fontId="3" fillId="5" borderId="16" applyAlignment="1" pivotButton="0" quotePrefix="0" xfId="0">
      <alignment horizontal="center" vertical="center"/>
    </xf>
    <xf numFmtId="1" fontId="0" fillId="5" borderId="16" applyAlignment="1" pivotButton="0" quotePrefix="0" xfId="0">
      <alignment horizontal="center" vertical="center"/>
    </xf>
    <xf numFmtId="0" fontId="3" fillId="0" borderId="1" applyAlignment="1" pivotButton="0" quotePrefix="0" xfId="0">
      <alignment horizontal="center" vertical="center"/>
    </xf>
    <xf numFmtId="0" fontId="3" fillId="0" borderId="0" applyAlignment="1" pivotButton="0" quotePrefix="0" xfId="0">
      <alignment horizontal="center" vertical="center"/>
    </xf>
    <xf numFmtId="0" fontId="3" fillId="0" borderId="2" applyAlignment="1" pivotButton="0" quotePrefix="0" xfId="0">
      <alignment horizontal="center" vertical="center"/>
    </xf>
    <xf numFmtId="0" fontId="3" fillId="3" borderId="1" applyAlignment="1" pivotButton="0" quotePrefix="0" xfId="0">
      <alignment horizontal="center" vertical="center"/>
    </xf>
    <xf numFmtId="0" fontId="3" fillId="3" borderId="11" applyAlignment="1" pivotButton="0" quotePrefix="0" xfId="0">
      <alignment horizontal="center" vertical="center"/>
    </xf>
    <xf numFmtId="0" fontId="0" fillId="0" borderId="11" applyAlignment="1" pivotButton="0" quotePrefix="0" xfId="0">
      <alignment horizontal="center" vertical="center"/>
    </xf>
    <xf numFmtId="0" fontId="0" fillId="0" borderId="0" applyAlignment="1" pivotButton="0" quotePrefix="0" xfId="0">
      <alignment horizontal="center" vertical="center"/>
    </xf>
    <xf numFmtId="0" fontId="4" fillId="2" borderId="1" applyAlignment="1" pivotButton="0" quotePrefix="0" xfId="0">
      <alignment wrapText="1"/>
    </xf>
    <xf numFmtId="0" fontId="3" fillId="3" borderId="2" applyAlignment="1" pivotButton="0" quotePrefix="0" xfId="0">
      <alignment horizontal="center" vertical="center"/>
    </xf>
    <xf numFmtId="0" fontId="3" fillId="3" borderId="12" applyAlignment="1" pivotButton="0" quotePrefix="0" xfId="0">
      <alignment horizontal="center" vertical="center"/>
    </xf>
    <xf numFmtId="0" fontId="4" fillId="0" borderId="1" applyAlignment="1" pivotButton="0" quotePrefix="0" xfId="0">
      <alignment horizontal="left" vertical="top" wrapText="1"/>
    </xf>
    <xf numFmtId="0" fontId="3" fillId="0" borderId="12" applyAlignment="1" pivotButton="0" quotePrefix="0" xfId="0">
      <alignment horizontal="left"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0" fillId="0" borderId="0" applyAlignment="1" pivotButton="0" quotePrefix="0" xfId="0">
      <alignment horizontal="left" vertical="top"/>
    </xf>
    <xf numFmtId="0" fontId="12" fillId="6" borderId="16" applyAlignment="1" pivotButton="0" quotePrefix="0" xfId="0">
      <alignment horizontal="center" vertical="center"/>
    </xf>
    <xf numFmtId="1" fontId="0" fillId="0" borderId="0" pivotButton="0" quotePrefix="0" xfId="0"/>
    <xf numFmtId="0" fontId="0" fillId="0" borderId="7" applyAlignment="1" pivotButton="0" quotePrefix="0" xfId="0">
      <alignment horizontal="center" vertical="center"/>
    </xf>
    <xf numFmtId="0" fontId="0" fillId="7" borderId="1" applyAlignment="1" pivotButton="0" quotePrefix="0" xfId="0">
      <alignment horizontal="center" vertical="center"/>
    </xf>
    <xf numFmtId="0" fontId="0" fillId="7" borderId="0" pivotButton="0" quotePrefix="0" xfId="0"/>
    <xf numFmtId="0" fontId="0" fillId="8" borderId="1" applyAlignment="1" pivotButton="0" quotePrefix="0" xfId="0">
      <alignment horizontal="center" vertical="center"/>
    </xf>
    <xf numFmtId="0" fontId="0" fillId="8" borderId="1" pivotButton="0" quotePrefix="0" xfId="0"/>
    <xf numFmtId="0" fontId="0" fillId="8" borderId="1" applyAlignment="1" pivotButton="0" quotePrefix="0" xfId="0">
      <alignment wrapText="1"/>
    </xf>
    <xf numFmtId="0" fontId="0" fillId="8" borderId="1" applyAlignment="1" pivotButton="0" quotePrefix="0" xfId="0">
      <alignment horizontal="left" vertical="top"/>
    </xf>
    <xf numFmtId="0" fontId="4" fillId="8" borderId="1" applyAlignment="1" pivotButton="0" quotePrefix="0" xfId="0">
      <alignment horizontal="left" vertical="top" wrapText="1"/>
    </xf>
    <xf numFmtId="0" fontId="0" fillId="9" borderId="1" applyAlignment="1" pivotButton="0" quotePrefix="0" xfId="0">
      <alignment horizontal="left" vertical="top"/>
    </xf>
    <xf numFmtId="0" fontId="0" fillId="9" borderId="1" pivotButton="0" quotePrefix="0" xfId="0"/>
    <xf numFmtId="0" fontId="0" fillId="9" borderId="0" applyAlignment="1" pivotButton="0" quotePrefix="0" xfId="0">
      <alignment horizontal="center" vertical="center"/>
    </xf>
    <xf numFmtId="0" fontId="0" fillId="9" borderId="1" applyAlignment="1" pivotButton="0" quotePrefix="0" xfId="0">
      <alignment horizontal="center" vertical="center"/>
    </xf>
    <xf numFmtId="0" fontId="12" fillId="0" borderId="0" pivotButton="0" quotePrefix="0" xfId="0"/>
    <xf numFmtId="0" fontId="0" fillId="0" borderId="9" pivotButton="0" quotePrefix="0" xfId="0"/>
    <xf numFmtId="0" fontId="3" fillId="3" borderId="9" applyAlignment="1" pivotButton="0" quotePrefix="0" xfId="0">
      <alignment horizontal="center" vertical="center"/>
    </xf>
    <xf numFmtId="0" fontId="8" fillId="10" borderId="0" applyAlignment="1" pivotButton="0" quotePrefix="0" xfId="0">
      <alignment wrapText="1"/>
    </xf>
    <xf numFmtId="0" fontId="3" fillId="0" borderId="9" pivotButton="0" quotePrefix="0" xfId="0"/>
    <xf numFmtId="0" fontId="3" fillId="0" borderId="9" applyAlignment="1" pivotButton="0" quotePrefix="0" xfId="0">
      <alignment wrapText="1"/>
    </xf>
    <xf numFmtId="0" fontId="3" fillId="0" borderId="9" applyAlignment="1" pivotButton="0" quotePrefix="0" xfId="0">
      <alignment horizontal="center" vertical="center"/>
    </xf>
    <xf numFmtId="0" fontId="12" fillId="5" borderId="9" applyAlignment="1" pivotButton="0" quotePrefix="0" xfId="0">
      <alignment horizontal="center" vertical="center"/>
    </xf>
    <xf numFmtId="0" fontId="11" fillId="4" borderId="9" applyAlignment="1" pivotButton="0" quotePrefix="0" xfId="2">
      <alignment horizontal="center" vertical="center"/>
    </xf>
    <xf numFmtId="0" fontId="0" fillId="7" borderId="9" applyAlignment="1" pivotButton="0" quotePrefix="0" xfId="0">
      <alignment horizontal="center" vertical="center"/>
    </xf>
    <xf numFmtId="1" fontId="12" fillId="5" borderId="9" applyAlignment="1" pivotButton="0" quotePrefix="0" xfId="0">
      <alignment horizontal="center" vertical="center"/>
    </xf>
    <xf numFmtId="0" fontId="0" fillId="0" borderId="9" applyAlignment="1" pivotButton="0" quotePrefix="0" xfId="0">
      <alignment vertical="center"/>
    </xf>
    <xf numFmtId="0" fontId="13" fillId="0" borderId="9" pivotButton="0" quotePrefix="0" xfId="0"/>
    <xf numFmtId="0" fontId="3" fillId="0" borderId="18" pivotButton="0" quotePrefix="0" xfId="0"/>
    <xf numFmtId="0" fontId="3" fillId="0" borderId="19" pivotButton="0" quotePrefix="0" xfId="0"/>
    <xf numFmtId="0" fontId="0" fillId="0" borderId="18" pivotButton="0" quotePrefix="0" xfId="0"/>
    <xf numFmtId="0" fontId="0" fillId="0" borderId="19" pivotButton="0" quotePrefix="0" xfId="0"/>
    <xf numFmtId="0" fontId="13" fillId="0" borderId="19" pivotButton="0" quotePrefix="0" xfId="0"/>
    <xf numFmtId="0" fontId="13" fillId="0" borderId="21" pivotButton="0" quotePrefix="0" xfId="0"/>
    <xf numFmtId="0" fontId="3" fillId="0" borderId="22" pivotButton="0" quotePrefix="0" xfId="0"/>
    <xf numFmtId="0" fontId="0" fillId="0" borderId="22" pivotButton="0" quotePrefix="0" xfId="0"/>
    <xf numFmtId="0" fontId="3" fillId="0" borderId="9" applyAlignment="1" pivotButton="0" quotePrefix="0" xfId="0">
      <alignment horizontal="left" vertical="top"/>
    </xf>
    <xf numFmtId="0" fontId="0" fillId="0" borderId="9" applyAlignment="1" pivotButton="0" quotePrefix="0" xfId="0">
      <alignment horizontal="left" vertical="top"/>
    </xf>
    <xf numFmtId="0" fontId="4" fillId="0" borderId="9" applyAlignment="1" pivotButton="0" quotePrefix="0" xfId="0">
      <alignment horizontal="left" vertical="top"/>
    </xf>
    <xf numFmtId="0" fontId="4" fillId="0" borderId="9" applyAlignment="1" pivotButton="0" quotePrefix="0" xfId="0">
      <alignment horizontal="left" vertical="top" wrapText="1"/>
    </xf>
    <xf numFmtId="0" fontId="0" fillId="8" borderId="9" applyAlignment="1" pivotButton="0" quotePrefix="0" xfId="0">
      <alignment horizontal="left" vertical="top"/>
    </xf>
    <xf numFmtId="0" fontId="13" fillId="0" borderId="9" applyAlignment="1" pivotButton="0" quotePrefix="0" xfId="0">
      <alignment horizontal="left" vertical="top"/>
    </xf>
    <xf numFmtId="0" fontId="8" fillId="0" borderId="9" applyAlignment="1" pivotButton="0" quotePrefix="0" xfId="0">
      <alignment horizontal="left" vertical="top" wrapText="1"/>
    </xf>
    <xf numFmtId="0" fontId="13" fillId="0" borderId="9" applyAlignment="1" pivotButton="0" quotePrefix="0" xfId="0">
      <alignment horizontal="left" vertical="top" wrapText="1"/>
    </xf>
    <xf numFmtId="0" fontId="3" fillId="0" borderId="24" pivotButton="0" quotePrefix="0" xfId="0"/>
    <xf numFmtId="0" fontId="4" fillId="9" borderId="9" applyAlignment="1" pivotButton="0" quotePrefix="0" xfId="0">
      <alignment horizontal="left" vertical="top"/>
    </xf>
    <xf numFmtId="0" fontId="13" fillId="9" borderId="9" applyAlignment="1" pivotButton="0" quotePrefix="0" xfId="0">
      <alignment horizontal="left" vertical="top"/>
    </xf>
    <xf numFmtId="0" fontId="4" fillId="8" borderId="9" applyAlignment="1" pivotButton="0" quotePrefix="0" xfId="0">
      <alignment horizontal="left" vertical="top"/>
    </xf>
    <xf numFmtId="0" fontId="4" fillId="8" borderId="9" applyAlignment="1" pivotButton="0" quotePrefix="0" xfId="0">
      <alignment horizontal="left" vertical="top" wrapText="1"/>
    </xf>
    <xf numFmtId="0" fontId="13" fillId="8" borderId="9" applyAlignment="1" pivotButton="0" quotePrefix="0" xfId="0">
      <alignment horizontal="left" vertical="top"/>
    </xf>
    <xf numFmtId="0" fontId="13" fillId="11" borderId="20" applyAlignment="1" pivotButton="0" quotePrefix="0" xfId="0">
      <alignment horizontal="left" vertical="top" wrapText="1"/>
    </xf>
    <xf numFmtId="0" fontId="0" fillId="11" borderId="9" applyAlignment="1" pivotButton="0" quotePrefix="0" xfId="0">
      <alignment horizontal="left" vertical="top"/>
    </xf>
    <xf numFmtId="0" fontId="4" fillId="11" borderId="9" applyAlignment="1" pivotButton="0" quotePrefix="0" xfId="0">
      <alignment horizontal="left" vertical="top"/>
    </xf>
    <xf numFmtId="0" fontId="4" fillId="11" borderId="9" applyAlignment="1" pivotButton="0" quotePrefix="0" xfId="0">
      <alignment horizontal="left" vertical="top" wrapText="1"/>
    </xf>
    <xf numFmtId="0" fontId="16" fillId="9" borderId="0" applyAlignment="1" pivotButton="0" quotePrefix="0" xfId="0">
      <alignment horizontal="center" vertical="center"/>
    </xf>
    <xf numFmtId="0" fontId="16" fillId="5" borderId="0" applyAlignment="1" pivotButton="0" quotePrefix="0" xfId="0">
      <alignment horizontal="left" vertical="center"/>
    </xf>
    <xf numFmtId="0" fontId="15" fillId="0" borderId="0" applyAlignment="1" pivotButton="0" quotePrefix="0" xfId="0">
      <alignment horizontal="left" vertical="center"/>
    </xf>
    <xf numFmtId="0" fontId="16" fillId="11" borderId="0" applyAlignment="1" pivotButton="0" quotePrefix="0" xfId="0">
      <alignment horizontal="left" vertical="center"/>
    </xf>
    <xf numFmtId="0" fontId="16" fillId="3" borderId="0" applyAlignment="1" pivotButton="0" quotePrefix="0" xfId="0">
      <alignment horizontal="left" vertical="center"/>
    </xf>
    <xf numFmtId="0" fontId="14" fillId="0" borderId="0" pivotButton="0" quotePrefix="0" xfId="0"/>
    <xf numFmtId="0" fontId="14" fillId="0" borderId="1" applyAlignment="1" pivotButton="0" quotePrefix="0" xfId="0">
      <alignment horizontal="center" vertical="center"/>
    </xf>
    <xf numFmtId="0" fontId="14" fillId="0" borderId="0" applyAlignment="1" pivotButton="0" quotePrefix="0" xfId="0">
      <alignment horizontal="center" vertical="center"/>
    </xf>
    <xf numFmtId="0" fontId="2" fillId="0" borderId="0" pivotButton="0" quotePrefix="0" xfId="0"/>
    <xf numFmtId="0" fontId="14" fillId="0" borderId="2" pivotButton="0" quotePrefix="0" xfId="0"/>
    <xf numFmtId="0" fontId="14" fillId="0" borderId="2" applyAlignment="1" pivotButton="0" quotePrefix="0" xfId="0">
      <alignment wrapText="1"/>
    </xf>
    <xf numFmtId="0" fontId="14" fillId="0" borderId="2" applyAlignment="1" pivotButton="0" quotePrefix="0" xfId="0">
      <alignment horizontal="center" vertical="center"/>
    </xf>
    <xf numFmtId="0" fontId="14" fillId="3" borderId="2" applyAlignment="1" pivotButton="0" quotePrefix="0" xfId="0">
      <alignment horizontal="center" vertical="center"/>
    </xf>
    <xf numFmtId="0" fontId="14" fillId="3" borderId="12" applyAlignment="1" pivotButton="0" quotePrefix="0" xfId="0">
      <alignment horizontal="center" vertical="center"/>
    </xf>
    <xf numFmtId="0" fontId="14" fillId="5" borderId="16" applyAlignment="1" pivotButton="0" quotePrefix="0" xfId="0">
      <alignment horizontal="center" vertical="center"/>
    </xf>
    <xf numFmtId="1" fontId="18" fillId="5" borderId="9" applyAlignment="1" pivotButton="0" quotePrefix="0" xfId="0">
      <alignment horizontal="center" vertical="center"/>
    </xf>
    <xf numFmtId="0" fontId="14" fillId="0" borderId="12" applyAlignment="1" pivotButton="0" quotePrefix="0" xfId="0">
      <alignment horizontal="left" vertical="top"/>
    </xf>
    <xf numFmtId="0" fontId="5" fillId="0" borderId="1" applyAlignment="1" pivotButton="0" quotePrefix="0" xfId="0">
      <alignment horizontal="left" vertical="top" wrapText="1"/>
    </xf>
    <xf numFmtId="0" fontId="2" fillId="0" borderId="0" applyAlignment="1" pivotButton="0" quotePrefix="0" xfId="0">
      <alignment horizontal="left" vertical="top" wrapText="1"/>
    </xf>
    <xf numFmtId="0" fontId="3" fillId="7" borderId="9" applyAlignment="1" pivotButton="0" quotePrefix="0" xfId="0">
      <alignment horizontal="center" vertical="center"/>
    </xf>
    <xf numFmtId="0" fontId="3" fillId="7" borderId="1" applyAlignment="1" pivotButton="0" quotePrefix="0" xfId="0">
      <alignment horizontal="center" vertical="center"/>
    </xf>
    <xf numFmtId="0" fontId="0" fillId="13" borderId="28" pivotButton="0" quotePrefix="0" xfId="0"/>
    <xf numFmtId="0" fontId="0" fillId="13" borderId="29" pivotButton="0" quotePrefix="0" xfId="0"/>
    <xf numFmtId="0" fontId="0" fillId="13" borderId="30" pivotButton="0" quotePrefix="0" xfId="0"/>
    <xf numFmtId="0" fontId="19" fillId="13" borderId="0" pivotButton="0" quotePrefix="0" xfId="0"/>
    <xf numFmtId="0" fontId="0" fillId="13" borderId="0" pivotButton="0" quotePrefix="0" xfId="0"/>
    <xf numFmtId="0" fontId="0" fillId="13" borderId="32" pivotButton="0" quotePrefix="0" xfId="0"/>
    <xf numFmtId="0" fontId="0" fillId="13" borderId="31" pivotButton="0" quotePrefix="0" xfId="0"/>
    <xf numFmtId="0" fontId="0" fillId="13" borderId="33" pivotButton="0" quotePrefix="0" xfId="0"/>
    <xf numFmtId="0" fontId="0" fillId="13" borderId="34" pivotButton="0" quotePrefix="0" xfId="0"/>
    <xf numFmtId="0" fontId="0" fillId="13" borderId="35" pivotButton="0" quotePrefix="0" xfId="0"/>
    <xf numFmtId="0" fontId="19" fillId="12" borderId="31" applyAlignment="1" pivotButton="0" quotePrefix="0" xfId="0">
      <alignment horizontal="center" vertical="center"/>
    </xf>
    <xf numFmtId="0" fontId="21" fillId="0" borderId="0" applyAlignment="1" pivotButton="0" quotePrefix="0" xfId="0">
      <alignment horizontal="left" vertical="center"/>
    </xf>
    <xf numFmtId="0" fontId="21" fillId="5" borderId="0" applyAlignment="1" pivotButton="0" quotePrefix="0" xfId="0">
      <alignment horizontal="center" vertical="center"/>
    </xf>
    <xf numFmtId="0" fontId="21" fillId="11" borderId="0" applyAlignment="1" pivotButton="0" quotePrefix="0" xfId="0">
      <alignment horizontal="center" vertical="center"/>
    </xf>
    <xf numFmtId="0" fontId="21" fillId="3" borderId="0" applyAlignment="1" pivotButton="0" quotePrefix="0" xfId="0">
      <alignment horizontal="center" vertical="center"/>
    </xf>
    <xf numFmtId="0" fontId="21" fillId="9" borderId="0" applyAlignment="1" pivotButton="0" quotePrefix="0" xfId="0">
      <alignment horizontal="center" vertical="center"/>
    </xf>
    <xf numFmtId="0" fontId="21" fillId="0" borderId="26" applyAlignment="1" pivotButton="0" quotePrefix="0" xfId="0">
      <alignment horizontal="left" vertical="center"/>
    </xf>
    <xf numFmtId="0" fontId="22" fillId="0" borderId="26" applyAlignment="1" pivotButton="0" quotePrefix="0" xfId="0">
      <alignment horizontal="center" vertical="center"/>
    </xf>
    <xf numFmtId="1" fontId="23" fillId="0" borderId="26" applyAlignment="1" pivotButton="0" quotePrefix="0" xfId="0">
      <alignment horizontal="center" vertical="center"/>
    </xf>
    <xf numFmtId="1" fontId="24" fillId="0" borderId="26" applyAlignment="1" pivotButton="0" quotePrefix="0" xfId="0">
      <alignment horizontal="center" vertical="center"/>
    </xf>
    <xf numFmtId="1" fontId="25" fillId="0" borderId="26" applyAlignment="1" pivotButton="0" quotePrefix="0" xfId="0">
      <alignment horizontal="center" vertical="center"/>
    </xf>
    <xf numFmtId="0" fontId="21" fillId="0" borderId="27" applyAlignment="1" pivotButton="0" quotePrefix="0" xfId="0">
      <alignment horizontal="left" vertical="center"/>
    </xf>
    <xf numFmtId="0" fontId="22" fillId="0" borderId="27" applyAlignment="1" pivotButton="0" quotePrefix="0" xfId="0">
      <alignment horizontal="center" vertical="center"/>
    </xf>
    <xf numFmtId="1" fontId="23" fillId="0" borderId="27" applyAlignment="1" pivotButton="0" quotePrefix="0" xfId="0">
      <alignment horizontal="center" vertical="center"/>
    </xf>
    <xf numFmtId="1" fontId="24" fillId="0" borderId="27" applyAlignment="1" pivotButton="0" quotePrefix="0" xfId="0">
      <alignment horizontal="center" vertical="center"/>
    </xf>
    <xf numFmtId="1" fontId="25" fillId="0" borderId="27" applyAlignment="1" pivotButton="0" quotePrefix="0" xfId="0">
      <alignment horizontal="center" vertical="center"/>
    </xf>
    <xf numFmtId="0" fontId="26" fillId="0" borderId="25" applyAlignment="1" pivotButton="0" quotePrefix="0" xfId="0">
      <alignment horizontal="center" vertical="center"/>
    </xf>
    <xf numFmtId="1" fontId="27" fillId="0" borderId="25" applyAlignment="1" pivotButton="0" quotePrefix="0" xfId="0">
      <alignment horizontal="center" vertical="center"/>
    </xf>
    <xf numFmtId="1" fontId="28" fillId="0" borderId="25" applyAlignment="1" pivotButton="0" quotePrefix="0" xfId="0">
      <alignment horizontal="center" vertical="center"/>
    </xf>
    <xf numFmtId="1" fontId="29" fillId="0" borderId="25" applyAlignment="1" pivotButton="0" quotePrefix="0" xfId="0">
      <alignment horizontal="center" vertical="center"/>
    </xf>
    <xf numFmtId="0" fontId="30" fillId="0" borderId="26" applyAlignment="1" pivotButton="0" quotePrefix="0" xfId="0">
      <alignment horizontal="center" vertical="center"/>
    </xf>
    <xf numFmtId="0" fontId="30" fillId="0" borderId="27" applyAlignment="1" pivotButton="0" quotePrefix="0" xfId="0">
      <alignment horizontal="center" vertical="center"/>
    </xf>
    <xf numFmtId="0" fontId="20" fillId="0" borderId="0" applyAlignment="1" pivotButton="0" quotePrefix="0" xfId="0">
      <alignment horizontal="center" vertical="center"/>
    </xf>
    <xf numFmtId="0" fontId="31" fillId="0" borderId="0" pivotButton="0" quotePrefix="0" xfId="0"/>
    <xf numFmtId="0" fontId="0" fillId="14" borderId="1" pivotButton="0" quotePrefix="0" xfId="0"/>
    <xf numFmtId="1" fontId="12" fillId="5" borderId="0" applyAlignment="1" pivotButton="0" quotePrefix="0" xfId="0">
      <alignment horizontal="center" vertical="center"/>
    </xf>
    <xf numFmtId="0" fontId="31" fillId="5" borderId="0" applyAlignment="1" pivotButton="0" quotePrefix="0" xfId="0">
      <alignment horizontal="center" vertical="center"/>
    </xf>
    <xf numFmtId="164" fontId="31" fillId="5" borderId="9" applyAlignment="1" pivotButton="0" quotePrefix="0" xfId="0">
      <alignment horizontal="center" vertical="center"/>
    </xf>
    <xf numFmtId="0" fontId="31" fillId="5" borderId="9" applyAlignment="1" pivotButton="0" quotePrefix="0" xfId="0">
      <alignment horizontal="center" vertical="center"/>
    </xf>
    <xf numFmtId="0" fontId="14" fillId="5" borderId="38" applyAlignment="1" pivotButton="0" quotePrefix="0" xfId="0">
      <alignment horizontal="center" vertical="center"/>
    </xf>
    <xf numFmtId="1" fontId="31" fillId="5" borderId="39" applyAlignment="1" pivotButton="0" quotePrefix="0" xfId="0">
      <alignment horizontal="center" vertical="center"/>
    </xf>
    <xf numFmtId="1" fontId="0" fillId="5" borderId="9" applyAlignment="1" pivotButton="0" quotePrefix="0" xfId="0">
      <alignment horizontal="center" vertical="center"/>
    </xf>
    <xf numFmtId="1" fontId="18" fillId="5" borderId="41" applyAlignment="1" pivotButton="0" quotePrefix="0" xfId="0">
      <alignment horizontal="center" vertical="center"/>
    </xf>
    <xf numFmtId="0" fontId="12" fillId="6" borderId="0" applyAlignment="1" pivotButton="0" quotePrefix="0" xfId="0">
      <alignment horizontal="center" vertical="center"/>
    </xf>
    <xf numFmtId="0" fontId="3" fillId="5" borderId="9" applyAlignment="1" pivotButton="0" quotePrefix="0" xfId="0">
      <alignment horizontal="center" vertical="center"/>
    </xf>
    <xf numFmtId="0" fontId="12" fillId="6" borderId="9" applyAlignment="1" pivotButton="0" quotePrefix="0" xfId="0">
      <alignment horizontal="center" vertical="center"/>
    </xf>
    <xf numFmtId="1" fontId="12" fillId="6" borderId="9" applyAlignment="1" pivotButton="0" quotePrefix="0" xfId="0">
      <alignment horizontal="center" vertical="center"/>
    </xf>
    <xf numFmtId="1" fontId="0" fillId="5" borderId="42" applyAlignment="1" pivotButton="0" quotePrefix="0" xfId="0">
      <alignment horizontal="center" vertical="center"/>
    </xf>
    <xf numFmtId="1" fontId="12" fillId="5" borderId="39" applyAlignment="1" pivotButton="0" quotePrefix="0" xfId="0">
      <alignment horizontal="center" vertical="center"/>
    </xf>
    <xf numFmtId="1" fontId="31" fillId="6" borderId="9" applyAlignment="1" pivotButton="0" quotePrefix="0" xfId="0">
      <alignment horizontal="center" vertical="center"/>
    </xf>
    <xf numFmtId="164" fontId="31" fillId="6" borderId="9" applyAlignment="1" pivotButton="0" quotePrefix="0" xfId="0">
      <alignment horizontal="center" vertical="center"/>
    </xf>
    <xf numFmtId="1" fontId="31" fillId="6" borderId="39" applyAlignment="1" pivotButton="0" quotePrefix="0" xfId="0">
      <alignment horizontal="center" vertical="center"/>
    </xf>
    <xf numFmtId="164" fontId="31" fillId="6" borderId="39" applyAlignment="1" pivotButton="0" quotePrefix="0" xfId="0">
      <alignment horizontal="center" vertical="center"/>
    </xf>
    <xf numFmtId="1" fontId="31" fillId="6" borderId="41" applyAlignment="1" pivotButton="0" quotePrefix="0" xfId="0">
      <alignment horizontal="center" vertical="center"/>
    </xf>
    <xf numFmtId="164" fontId="31" fillId="6" borderId="41" applyAlignment="1" pivotButton="0" quotePrefix="0" xfId="0">
      <alignment horizontal="center" vertical="center"/>
    </xf>
    <xf numFmtId="16" fontId="32" fillId="15" borderId="39" pivotButton="0" quotePrefix="0" xfId="0"/>
    <xf numFmtId="0" fontId="33" fillId="2" borderId="1" pivotButton="0" quotePrefix="0" xfId="0"/>
    <xf numFmtId="0" fontId="4" fillId="0" borderId="1" pivotButton="0" quotePrefix="0" xfId="0"/>
    <xf numFmtId="0" fontId="34" fillId="0" borderId="0" pivotButton="0" quotePrefix="0" xfId="0"/>
    <xf numFmtId="164" fontId="12" fillId="5" borderId="0" applyAlignment="1" pivotButton="0" quotePrefix="0" xfId="0">
      <alignment horizontal="center" vertical="center"/>
    </xf>
    <xf numFmtId="164" fontId="0" fillId="0" borderId="0" pivotButton="0" quotePrefix="0" xfId="0"/>
    <xf numFmtId="0" fontId="35" fillId="16" borderId="0" applyAlignment="1" pivotButton="0" quotePrefix="0" xfId="0">
      <alignment horizontal="center" vertical="center"/>
    </xf>
    <xf numFmtId="1" fontId="36" fillId="0" borderId="26" applyAlignment="1" pivotButton="0" quotePrefix="0" xfId="0">
      <alignment horizontal="center" vertical="center"/>
    </xf>
    <xf numFmtId="1" fontId="37" fillId="0" borderId="25" applyAlignment="1" pivotButton="0" quotePrefix="0" xfId="0">
      <alignment horizontal="center" vertical="center"/>
    </xf>
    <xf numFmtId="0" fontId="38" fillId="0" borderId="1" applyAlignment="1" pivotButton="0" quotePrefix="0" xfId="0">
      <alignment wrapText="1"/>
    </xf>
    <xf numFmtId="164" fontId="12" fillId="6" borderId="0" applyAlignment="1" pivotButton="0" quotePrefix="0" xfId="0">
      <alignment horizontal="center" vertical="center"/>
    </xf>
    <xf numFmtId="0" fontId="38" fillId="0" borderId="1" applyAlignment="1" pivotButton="0" quotePrefix="0" xfId="0">
      <alignment horizontal="left" vertical="top" wrapText="1"/>
    </xf>
    <xf numFmtId="0" fontId="4" fillId="17" borderId="1" applyAlignment="1" pivotButton="0" quotePrefix="0" xfId="0">
      <alignment horizontal="left" vertical="top" wrapText="1"/>
    </xf>
    <xf numFmtId="0" fontId="0" fillId="17" borderId="1" applyAlignment="1" pivotButton="0" quotePrefix="0" xfId="0">
      <alignment horizontal="left" vertical="top"/>
    </xf>
    <xf numFmtId="0" fontId="5" fillId="13" borderId="1" applyAlignment="1" pivotButton="0" quotePrefix="0" xfId="0">
      <alignment horizontal="left" vertical="top" wrapText="1"/>
    </xf>
    <xf numFmtId="22" fontId="0" fillId="0" borderId="0" pivotButton="0" quotePrefix="0" xfId="0"/>
    <xf numFmtId="165" fontId="0" fillId="0" borderId="9" applyAlignment="1" pivotButton="0" quotePrefix="0" xfId="0">
      <alignment horizontal="center" vertical="center"/>
    </xf>
    <xf numFmtId="165" fontId="31" fillId="5" borderId="9" applyAlignment="1" pivotButton="0" quotePrefix="0" xfId="0">
      <alignment horizontal="center" vertical="center"/>
    </xf>
    <xf numFmtId="165" fontId="0" fillId="0" borderId="0" pivotButton="0" quotePrefix="0" xfId="0"/>
    <xf numFmtId="0" fontId="11" fillId="11" borderId="9" applyAlignment="1" pivotButton="0" quotePrefix="0" xfId="2">
      <alignment horizontal="center" vertical="center"/>
    </xf>
    <xf numFmtId="165" fontId="31" fillId="5" borderId="39" applyAlignment="1" pivotButton="0" quotePrefix="0" xfId="0">
      <alignment horizontal="center" vertical="center"/>
    </xf>
    <xf numFmtId="165" fontId="31" fillId="5" borderId="41" applyAlignment="1" pivotButton="0" quotePrefix="0" xfId="0">
      <alignment horizontal="center" vertical="center"/>
    </xf>
    <xf numFmtId="165" fontId="12" fillId="5" borderId="9" applyAlignment="1" pivotButton="0" quotePrefix="0" xfId="0">
      <alignment horizontal="center" vertical="center"/>
    </xf>
    <xf numFmtId="165" fontId="2" fillId="0" borderId="0" pivotButton="0" quotePrefix="0" xfId="0"/>
    <xf numFmtId="165" fontId="12" fillId="5" borderId="0" applyAlignment="1" pivotButton="0" quotePrefix="0" xfId="0">
      <alignment horizontal="center" vertical="center"/>
    </xf>
    <xf numFmtId="1" fontId="18" fillId="7" borderId="9" applyAlignment="1" pivotButton="0" quotePrefix="0" xfId="0">
      <alignment horizontal="center" vertical="center"/>
    </xf>
    <xf numFmtId="165" fontId="31" fillId="7" borderId="9" applyAlignment="1" pivotButton="0" quotePrefix="0" xfId="0">
      <alignment horizontal="center" vertical="center"/>
    </xf>
    <xf numFmtId="164" fontId="31" fillId="7" borderId="39" applyAlignment="1" pivotButton="0" quotePrefix="0" xfId="0">
      <alignment horizontal="center" vertical="center"/>
    </xf>
    <xf numFmtId="16" fontId="32" fillId="7" borderId="39" pivotButton="0" quotePrefix="0" xfId="0"/>
    <xf numFmtId="164" fontId="12" fillId="5" borderId="9" applyAlignment="1" pivotButton="0" quotePrefix="0" xfId="0">
      <alignment horizontal="center" vertical="center"/>
    </xf>
    <xf numFmtId="165" fontId="0" fillId="2" borderId="9" applyAlignment="1" pivotButton="0" quotePrefix="0" xfId="0">
      <alignment horizontal="center" vertical="center"/>
    </xf>
    <xf numFmtId="0" fontId="30" fillId="0" borderId="0" applyAlignment="1" pivotButton="0" quotePrefix="0" xfId="0">
      <alignment horizontal="center" vertical="center"/>
    </xf>
    <xf numFmtId="1" fontId="23" fillId="0" borderId="0" applyAlignment="1" pivotButton="0" quotePrefix="0" xfId="0">
      <alignment horizontal="center" vertical="center"/>
    </xf>
    <xf numFmtId="1" fontId="24" fillId="0" borderId="0" applyAlignment="1" pivotButton="0" quotePrefix="0" xfId="0">
      <alignment horizontal="center" vertical="center"/>
    </xf>
    <xf numFmtId="1" fontId="25" fillId="0" borderId="0" applyAlignment="1" pivotButton="0" quotePrefix="0" xfId="0">
      <alignment horizontal="center" vertical="center"/>
    </xf>
    <xf numFmtId="1" fontId="36" fillId="0" borderId="0" applyAlignment="1" pivotButton="0" quotePrefix="0" xfId="0">
      <alignment horizontal="center" vertical="center"/>
    </xf>
    <xf numFmtId="1" fontId="22" fillId="0" borderId="0" applyAlignment="1" pivotButton="0" quotePrefix="0" xfId="0">
      <alignment horizontal="center" vertical="center"/>
    </xf>
    <xf numFmtId="1" fontId="26" fillId="0" borderId="25" applyAlignment="1" pivotButton="0" quotePrefix="0" xfId="0">
      <alignment horizontal="center" vertical="center"/>
    </xf>
    <xf numFmtId="0" fontId="39" fillId="0" borderId="0" pivotButton="0" quotePrefix="0" xfId="0"/>
    <xf numFmtId="164" fontId="31" fillId="2" borderId="9" applyAlignment="1" pivotButton="0" quotePrefix="0" xfId="0">
      <alignment horizontal="center" vertical="center"/>
    </xf>
    <xf numFmtId="0" fontId="5" fillId="0" borderId="1" pivotButton="0" quotePrefix="0" xfId="0"/>
    <xf numFmtId="0" fontId="4" fillId="2" borderId="1" applyAlignment="1" pivotButton="0" quotePrefix="0" xfId="0">
      <alignment horizontal="left" wrapText="1"/>
    </xf>
    <xf numFmtId="0" fontId="0" fillId="2" borderId="1" applyAlignment="1" pivotButton="0" quotePrefix="0" xfId="0">
      <alignment vertical="center" wrapText="1"/>
    </xf>
    <xf numFmtId="0" fontId="3" fillId="0" borderId="0" applyAlignment="1" pivotButton="0" quotePrefix="0" xfId="0">
      <alignment horizontal="center"/>
    </xf>
    <xf numFmtId="0" fontId="40" fillId="17" borderId="1" applyAlignment="1" pivotButton="0" quotePrefix="0" xfId="3">
      <alignment horizontal="left" vertical="top"/>
    </xf>
    <xf numFmtId="0" fontId="40" fillId="0" borderId="1" applyAlignment="1" pivotButton="0" quotePrefix="0" xfId="3">
      <alignment horizontal="left" vertical="top"/>
    </xf>
    <xf numFmtId="0" fontId="40" fillId="0" borderId="1" applyAlignment="1" pivotButton="0" quotePrefix="0" xfId="3">
      <alignment horizontal="left" vertical="top" wrapText="1"/>
    </xf>
    <xf numFmtId="0" fontId="40" fillId="0" borderId="0" pivotButton="0" quotePrefix="0" xfId="3"/>
    <xf numFmtId="0" fontId="3" fillId="0" borderId="44" applyAlignment="1" pivotButton="0" quotePrefix="0" xfId="0">
      <alignment horizontal="center"/>
    </xf>
    <xf numFmtId="0" fontId="3" fillId="0" borderId="10" applyAlignment="1" pivotButton="0" quotePrefix="0" xfId="0">
      <alignment horizontal="left" vertical="top"/>
    </xf>
    <xf numFmtId="0" fontId="0" fillId="11" borderId="10" applyAlignment="1" pivotButton="0" quotePrefix="0" xfId="0">
      <alignment horizontal="left" vertical="top"/>
    </xf>
    <xf numFmtId="0" fontId="4" fillId="11" borderId="10" applyAlignment="1" pivotButton="0" quotePrefix="0" xfId="0">
      <alignment horizontal="left" vertical="top"/>
    </xf>
    <xf numFmtId="0" fontId="0" fillId="8" borderId="10" applyAlignment="1" pivotButton="0" quotePrefix="0" xfId="0">
      <alignment horizontal="left" vertical="top"/>
    </xf>
    <xf numFmtId="0" fontId="4" fillId="8" borderId="10" applyAlignment="1" pivotButton="0" quotePrefix="0" xfId="0">
      <alignment horizontal="left" vertical="top" wrapText="1"/>
    </xf>
    <xf numFmtId="0" fontId="4" fillId="11" borderId="10" applyAlignment="1" pivotButton="0" quotePrefix="0" xfId="0">
      <alignment horizontal="left" vertical="top" wrapText="1"/>
    </xf>
    <xf numFmtId="0" fontId="4" fillId="0" borderId="10" applyAlignment="1" pivotButton="0" quotePrefix="0" xfId="0">
      <alignment horizontal="left" vertical="top" wrapText="1"/>
    </xf>
    <xf numFmtId="0" fontId="4" fillId="8" borderId="10" applyAlignment="1" pivotButton="0" quotePrefix="0" xfId="0">
      <alignment horizontal="left" vertical="top"/>
    </xf>
    <xf numFmtId="0" fontId="0" fillId="0" borderId="10" applyAlignment="1" pivotButton="0" quotePrefix="0" xfId="0">
      <alignment horizontal="left" vertical="top"/>
    </xf>
    <xf numFmtId="0" fontId="8" fillId="0" borderId="10" applyAlignment="1" pivotButton="0" quotePrefix="0" xfId="0">
      <alignment horizontal="left" vertical="top" wrapText="1"/>
    </xf>
    <xf numFmtId="0" fontId="13" fillId="0" borderId="10" applyAlignment="1" pivotButton="0" quotePrefix="0" xfId="0">
      <alignment horizontal="left" vertical="top" wrapText="1"/>
    </xf>
    <xf numFmtId="0" fontId="13" fillId="8" borderId="10" applyAlignment="1" pivotButton="0" quotePrefix="0" xfId="0">
      <alignment horizontal="left" vertical="top"/>
    </xf>
    <xf numFmtId="0" fontId="13" fillId="11" borderId="45" applyAlignment="1" pivotButton="0" quotePrefix="0" xfId="0">
      <alignment horizontal="left" vertical="top" wrapText="1"/>
    </xf>
    <xf numFmtId="0" fontId="40" fillId="0" borderId="10" applyAlignment="1" pivotButton="0" quotePrefix="0" xfId="3">
      <alignment horizontal="left" vertical="top"/>
    </xf>
    <xf numFmtId="0" fontId="40" fillId="9" borderId="10" applyAlignment="1" pivotButton="0" quotePrefix="0" xfId="3">
      <alignment horizontal="left" vertical="top"/>
    </xf>
    <xf numFmtId="0" fontId="4" fillId="2" borderId="10" applyAlignment="1" pivotButton="0" quotePrefix="0" xfId="0">
      <alignment horizontal="left" vertical="top"/>
    </xf>
    <xf numFmtId="0" fontId="40" fillId="8" borderId="1" pivotButton="0" quotePrefix="0" xfId="3"/>
    <xf numFmtId="0" fontId="40" fillId="0" borderId="1" applyAlignment="1" pivotButton="0" quotePrefix="0" xfId="3">
      <alignment wrapText="1"/>
    </xf>
    <xf numFmtId="0" fontId="40" fillId="0" borderId="1" pivotButton="0" quotePrefix="0" xfId="3"/>
    <xf numFmtId="0" fontId="14" fillId="0" borderId="0" applyAlignment="1" pivotButton="0" quotePrefix="0" xfId="0">
      <alignment horizontal="center"/>
    </xf>
    <xf numFmtId="0" fontId="40" fillId="2" borderId="1" applyAlignment="1" pivotButton="0" quotePrefix="0" xfId="3">
      <alignment horizontal="left" vertical="top" wrapText="1"/>
    </xf>
    <xf numFmtId="0" fontId="40" fillId="2" borderId="10" applyAlignment="1" pivotButton="0" quotePrefix="0" xfId="3">
      <alignment horizontal="left" vertical="top"/>
    </xf>
    <xf numFmtId="0" fontId="40" fillId="2" borderId="10" applyAlignment="1" pivotButton="0" quotePrefix="0" xfId="3">
      <alignment horizontal="left" vertical="top" wrapText="1"/>
    </xf>
    <xf numFmtId="0" fontId="40" fillId="2" borderId="1" applyAlignment="1" pivotButton="0" quotePrefix="0" xfId="3">
      <alignment wrapText="1"/>
    </xf>
    <xf numFmtId="0" fontId="40" fillId="2" borderId="1" applyAlignment="1" pivotButton="0" quotePrefix="0" xfId="3">
      <alignment horizontal="left" vertical="top"/>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4" fillId="0" borderId="1" applyAlignment="1" pivotButton="0" quotePrefix="0" xfId="0">
      <alignment horizontal="left" vertical="center" wrapText="1"/>
    </xf>
    <xf numFmtId="0" fontId="0" fillId="2" borderId="7" applyAlignment="1" pivotButton="0" quotePrefix="0" xfId="0">
      <alignment horizontal="left" vertical="center" wrapText="1"/>
    </xf>
    <xf numFmtId="0" fontId="0" fillId="0" borderId="7" applyAlignment="1" pivotButton="0" quotePrefix="0" xfId="0">
      <alignment vertical="center" wrapText="1"/>
    </xf>
    <xf numFmtId="0" fontId="0" fillId="0" borderId="9" applyAlignment="1" pivotButton="0" quotePrefix="0" xfId="0">
      <alignment horizontal="left" vertical="center"/>
    </xf>
    <xf numFmtId="0" fontId="0" fillId="0" borderId="9" applyAlignment="1" pivotButton="0" quotePrefix="0" xfId="0">
      <alignment horizontal="center" vertical="center"/>
    </xf>
    <xf numFmtId="0" fontId="1" fillId="0" borderId="0" pivotButton="0" quotePrefix="0" xfId="0"/>
    <xf numFmtId="0" fontId="1" fillId="0" borderId="1" pivotButton="0" quotePrefix="0" xfId="0"/>
    <xf numFmtId="0" fontId="1" fillId="0" borderId="1" applyAlignment="1" pivotButton="0" quotePrefix="0" xfId="0">
      <alignment horizontal="left" vertical="top" wrapText="1"/>
    </xf>
    <xf numFmtId="0" fontId="1" fillId="0" borderId="11" pivotButton="0" quotePrefix="0" xfId="0"/>
    <xf numFmtId="0" fontId="1" fillId="0" borderId="8" pivotButton="0" quotePrefix="0" xfId="0"/>
    <xf numFmtId="0" fontId="1" fillId="7" borderId="1" applyAlignment="1" pivotButton="0" quotePrefix="0" xfId="0">
      <alignment horizontal="center" vertical="center"/>
    </xf>
    <xf numFmtId="1" fontId="1" fillId="5" borderId="16" applyAlignment="1" pivotButton="0" quotePrefix="0" xfId="0">
      <alignment horizontal="center" vertical="center"/>
    </xf>
    <xf numFmtId="0" fontId="1" fillId="0" borderId="1" applyAlignment="1" pivotButton="0" quotePrefix="0" xfId="0">
      <alignment horizontal="left" vertical="center"/>
    </xf>
    <xf numFmtId="1" fontId="1" fillId="7" borderId="16" applyAlignment="1" pivotButton="0" quotePrefix="0" xfId="0">
      <alignment horizontal="center" vertical="center"/>
    </xf>
    <xf numFmtId="0" fontId="1" fillId="0" borderId="1" applyAlignment="1" pivotButton="0" quotePrefix="0" xfId="0">
      <alignment horizontal="center" vertical="center"/>
    </xf>
    <xf numFmtId="0" fontId="1" fillId="0" borderId="1" applyAlignment="1" pivotButton="0" quotePrefix="0" xfId="0">
      <alignment horizontal="center" vertical="center" wrapText="1"/>
    </xf>
    <xf numFmtId="0" fontId="1" fillId="7" borderId="2" applyAlignment="1" pivotButton="0" quotePrefix="0" xfId="0">
      <alignment horizontal="center" vertical="center"/>
    </xf>
    <xf numFmtId="1" fontId="1" fillId="5" borderId="40" applyAlignment="1" pivotButton="0" quotePrefix="0" xfId="0">
      <alignment horizontal="center" vertical="center"/>
    </xf>
    <xf numFmtId="0" fontId="1" fillId="0" borderId="0" applyAlignment="1" pivotButton="0" quotePrefix="0" xfId="0">
      <alignment horizontal="left" vertical="top" wrapText="1"/>
    </xf>
    <xf numFmtId="165" fontId="1" fillId="0" borderId="0" pivotButton="0" quotePrefix="0" xfId="0"/>
    <xf numFmtId="0" fontId="9" fillId="0" borderId="0" pivotButton="0" quotePrefix="0" xfId="0"/>
    <xf numFmtId="0" fontId="11" fillId="4" borderId="9" applyAlignment="1" pivotButton="0" quotePrefix="0" xfId="0">
      <alignment horizontal="center" vertical="center"/>
    </xf>
    <xf numFmtId="165" fontId="9" fillId="0" borderId="9" applyAlignment="1" pivotButton="0" quotePrefix="0" xfId="0">
      <alignment horizontal="center" vertical="center"/>
    </xf>
    <xf numFmtId="1" fontId="9" fillId="5" borderId="42" applyAlignment="1" pivotButton="0" quotePrefix="0" xfId="0">
      <alignment horizontal="center" vertical="center"/>
    </xf>
    <xf numFmtId="165" fontId="9" fillId="2" borderId="9" applyAlignment="1" pivotButton="0" quotePrefix="0" xfId="0">
      <alignment horizontal="center" vertical="center"/>
    </xf>
    <xf numFmtId="0" fontId="3" fillId="0" borderId="15" applyAlignment="1" pivotButton="0" quotePrefix="0" xfId="0">
      <alignment horizontal="center"/>
    </xf>
    <xf numFmtId="0" fontId="0" fillId="0" borderId="15" pivotButton="0" quotePrefix="0" xfId="0"/>
    <xf numFmtId="0" fontId="4" fillId="0" borderId="1" applyAlignment="1" pivotButton="0" quotePrefix="0" xfId="0">
      <alignment horizontal="left" vertical="center" wrapText="1"/>
    </xf>
    <xf numFmtId="0" fontId="0" fillId="0" borderId="7" pivotButton="0" quotePrefix="0" xfId="0"/>
    <xf numFmtId="0" fontId="0" fillId="0" borderId="1" applyAlignment="1" pivotButton="0" quotePrefix="0" xfId="0">
      <alignment horizontal="left" vertical="center" wrapText="1"/>
    </xf>
    <xf numFmtId="0" fontId="0" fillId="0" borderId="17" pivotButton="0" quotePrefix="0" xfId="0"/>
    <xf numFmtId="0" fontId="0" fillId="0" borderId="1" applyAlignment="1" pivotButton="0" quotePrefix="0" xfId="0">
      <alignment horizontal="left" vertical="center"/>
    </xf>
    <xf numFmtId="0" fontId="0" fillId="2" borderId="1" applyAlignment="1" pivotButton="0" quotePrefix="0" xfId="0">
      <alignment horizontal="left" vertical="center" wrapText="1"/>
    </xf>
    <xf numFmtId="0" fontId="3" fillId="3" borderId="15" applyAlignment="1" pivotButton="0" quotePrefix="0" xfId="0">
      <alignment horizontal="center" vertical="center"/>
    </xf>
    <xf numFmtId="0" fontId="11" fillId="4" borderId="36" applyAlignment="1" pivotButton="0" quotePrefix="0" xfId="2">
      <alignment horizontal="center" vertical="center"/>
    </xf>
    <xf numFmtId="0" fontId="0" fillId="5" borderId="16" applyAlignment="1" pivotButton="0" quotePrefix="0" xfId="0">
      <alignment horizontal="center" vertical="center"/>
    </xf>
    <xf numFmtId="0" fontId="12" fillId="6" borderId="16" applyAlignment="1" pivotButton="0" quotePrefix="0" xfId="0">
      <alignment horizontal="center" vertical="center"/>
    </xf>
    <xf numFmtId="0" fontId="12" fillId="6" borderId="0" applyAlignment="1" pivotButton="0" quotePrefix="0" xfId="0">
      <alignment horizontal="center" vertical="center"/>
    </xf>
    <xf numFmtId="164" fontId="12" fillId="6" borderId="0" applyAlignment="1" pivotButton="0" quotePrefix="0" xfId="0">
      <alignment horizontal="center" vertical="center"/>
    </xf>
    <xf numFmtId="0" fontId="0" fillId="0" borderId="0" applyAlignment="1" pivotButton="0" quotePrefix="0" xfId="0">
      <alignment horizontal="center" vertical="center"/>
    </xf>
    <xf numFmtId="0" fontId="0" fillId="0" borderId="0" pivotButton="0" quotePrefix="0" xfId="0"/>
    <xf numFmtId="0" fontId="0" fillId="0" borderId="1" applyAlignment="1" pivotButton="0" quotePrefix="0" xfId="0">
      <alignment vertical="center" wrapText="1"/>
    </xf>
    <xf numFmtId="0" fontId="3" fillId="0" borderId="23" applyAlignment="1" pivotButton="0" quotePrefix="0" xfId="0">
      <alignment horizontal="center"/>
    </xf>
    <xf numFmtId="0" fontId="0" fillId="0" borderId="46" pivotButton="0" quotePrefix="0" xfId="0"/>
    <xf numFmtId="0" fontId="0" fillId="0" borderId="47" pivotButton="0" quotePrefix="0" xfId="0"/>
    <xf numFmtId="0" fontId="0" fillId="0" borderId="9" applyAlignment="1" pivotButton="0" quotePrefix="0" xfId="0">
      <alignment horizontal="center" vertical="center"/>
    </xf>
    <xf numFmtId="0" fontId="0" fillId="0" borderId="43" pivotButton="0" quotePrefix="0" xfId="0"/>
    <xf numFmtId="0" fontId="0" fillId="0" borderId="39" pivotButton="0" quotePrefix="0" xfId="0"/>
    <xf numFmtId="0" fontId="3" fillId="3" borderId="0" applyAlignment="1" pivotButton="0" quotePrefix="0" xfId="0">
      <alignment horizontal="center" vertical="center"/>
    </xf>
    <xf numFmtId="0" fontId="0" fillId="7" borderId="0" pivotButton="0" quotePrefix="0" xfId="0"/>
    <xf numFmtId="0" fontId="0" fillId="0" borderId="9" applyAlignment="1" pivotButton="0" quotePrefix="0" xfId="0">
      <alignment horizontal="left" vertical="center"/>
    </xf>
    <xf numFmtId="0" fontId="11" fillId="4" borderId="37" applyAlignment="1" pivotButton="0" quotePrefix="0" xfId="2">
      <alignment horizontal="center" vertical="center"/>
    </xf>
    <xf numFmtId="0" fontId="0" fillId="0" borderId="26" pivotButton="0" quotePrefix="0" xfId="0"/>
    <xf numFmtId="165" fontId="11" fillId="4" borderId="36" applyAlignment="1" pivotButton="0" quotePrefix="0" xfId="2">
      <alignment horizontal="center" vertical="center"/>
    </xf>
    <xf numFmtId="165" fontId="0" fillId="0" borderId="0" pivotButton="0" quotePrefix="0" xfId="0"/>
    <xf numFmtId="164" fontId="0" fillId="0" borderId="0" pivotButton="0" quotePrefix="0" xfId="0"/>
    <xf numFmtId="0" fontId="14" fillId="0" borderId="15" applyAlignment="1" pivotButton="0" quotePrefix="0" xfId="0">
      <alignment horizontal="center"/>
    </xf>
    <xf numFmtId="0" fontId="1" fillId="0" borderId="1" applyAlignment="1" pivotButton="0" quotePrefix="0" xfId="0">
      <alignment horizontal="center" vertical="center"/>
    </xf>
    <xf numFmtId="0" fontId="14" fillId="3" borderId="15" applyAlignment="1" pivotButton="0" quotePrefix="0" xfId="0">
      <alignment horizontal="center" vertical="center"/>
    </xf>
    <xf numFmtId="0" fontId="1" fillId="0" borderId="1" applyAlignment="1" pivotButton="0" quotePrefix="0" xfId="0">
      <alignment horizontal="center" vertical="center" wrapText="1"/>
    </xf>
    <xf numFmtId="165" fontId="17" fillId="4" borderId="36" applyAlignment="1" pivotButton="0" quotePrefix="0" xfId="2">
      <alignment horizontal="center" vertical="center"/>
    </xf>
    <xf numFmtId="0" fontId="2" fillId="0" borderId="0" pivotButton="0" quotePrefix="0" xfId="0"/>
    <xf numFmtId="165" fontId="2" fillId="0" borderId="0" pivotButton="0" quotePrefix="0" xfId="0"/>
    <xf numFmtId="0" fontId="5" fillId="0" borderId="1" applyAlignment="1" pivotButton="0" quotePrefix="0" xfId="0">
      <alignment horizontal="center" vertical="center" wrapText="1"/>
    </xf>
    <xf numFmtId="0" fontId="0" fillId="0" borderId="4" applyAlignment="1" pivotButton="0" quotePrefix="0" xfId="0">
      <alignment horizontal="left" vertical="center"/>
    </xf>
    <xf numFmtId="0" fontId="0" fillId="0" borderId="0" applyAlignment="1" pivotButton="0" quotePrefix="0" xfId="0">
      <alignment horizontal="center"/>
    </xf>
  </cellXfs>
  <cellStyles count="4">
    <cellStyle name="Normal" xfId="0" builtinId="0"/>
    <cellStyle name="Percent" xfId="1" builtinId="5"/>
    <cellStyle name="Good" xfId="2" builtinId="26"/>
    <cellStyle name="Hyperlink" xfId="3"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hyperlink" Target="https://octopusdtlsupport.atlassian.net/browse/O2-793" TargetMode="External" Id="rId1"/><Relationship Type="http://schemas.openxmlformats.org/officeDocument/2006/relationships/hyperlink" Target="https://octopusdtlsupport.atlassian.net/browse/O2-2188" TargetMode="External" Id="rId2"/><Relationship Type="http://schemas.openxmlformats.org/officeDocument/2006/relationships/hyperlink" Target="https://octopusdtlsupport.atlassian.net/browse/O2-2189" TargetMode="External" Id="rId3"/><Relationship Type="http://schemas.openxmlformats.org/officeDocument/2006/relationships/hyperlink" Target="https://octopusdtlsupport.atlassian.net/browse/O2-2190" TargetMode="External" Id="rId4"/><Relationship Type="http://schemas.openxmlformats.org/officeDocument/2006/relationships/hyperlink" Target="https://octopusdtlsupport.atlassian.net/browse/O2-2269" TargetMode="External" Id="rId5"/><Relationship Type="http://schemas.openxmlformats.org/officeDocument/2006/relationships/hyperlink" Target="https://octopusdtlsupport.atlassian.net/browse/O2-1991" TargetMode="External" Id="rId6"/><Relationship Type="http://schemas.openxmlformats.org/officeDocument/2006/relationships/hyperlink" Target="https://octopusdtlsupport.atlassian.net/browse/O2-2186" TargetMode="External" Id="rId7"/><Relationship Type="http://schemas.openxmlformats.org/officeDocument/2006/relationships/hyperlink" Target="https://octopusdtlsupport.atlassian.net/browse/O2-697" TargetMode="External" Id="rId8"/><Relationship Type="http://schemas.openxmlformats.org/officeDocument/2006/relationships/hyperlink" Target="https://octopusdtlsupport.atlassian.net/browse/O2-2277" TargetMode="External" Id="rId9"/><Relationship Type="http://schemas.openxmlformats.org/officeDocument/2006/relationships/hyperlink" Target="https://octopusdtlsupport.atlassian.net/browse/O2-2278" TargetMode="External" Id="rId10"/><Relationship Type="http://schemas.openxmlformats.org/officeDocument/2006/relationships/hyperlink" Target="https://octopusdtlsupport.atlassian.net/browse/O2-2279" TargetMode="External" Id="rId11"/><Relationship Type="http://schemas.openxmlformats.org/officeDocument/2006/relationships/hyperlink" Target="https://octopusdtlsupport.atlassian.net/browse/O2-2280" TargetMode="External" Id="rId12"/><Relationship Type="http://schemas.openxmlformats.org/officeDocument/2006/relationships/hyperlink" Target="https://octopusdtlsupport.atlassian.net/browse/O2-2296" TargetMode="External" Id="rId13"/><Relationship Type="http://schemas.openxmlformats.org/officeDocument/2006/relationships/hyperlink" Target="https://octopusdtlsupport.atlassian.net/browse/O2-2321" TargetMode="External" Id="rId14"/><Relationship Type="http://schemas.openxmlformats.org/officeDocument/2006/relationships/hyperlink" Target="https://octopusdtlsupport.atlassian.net/browse/O2-456" TargetMode="External" Id="rId15"/><Relationship Type="http://schemas.openxmlformats.org/officeDocument/2006/relationships/hyperlink" Target="https://octopusdtlsupport.atlassian.net/browse/O2-36" TargetMode="External" Id="rId16"/><Relationship Type="http://schemas.openxmlformats.org/officeDocument/2006/relationships/hyperlink" Target="https://octopusdtlsupport.atlassian.net/browse/O2-1976" TargetMode="External" Id="rId17"/></Relationships>
</file>

<file path=xl/worksheets/_rels/sheet4.xml.rels><Relationships xmlns="http://schemas.openxmlformats.org/package/2006/relationships"><Relationship Type="http://schemas.openxmlformats.org/officeDocument/2006/relationships/hyperlink" Target="https://octopusdtlsupport.atlassian.net/browse/FF-541" TargetMode="External" Id="rId1"/><Relationship Type="http://schemas.openxmlformats.org/officeDocument/2006/relationships/hyperlink" Target="https://octopusdtlsupport.atlassian.net/browse/FF-446" TargetMode="External" Id="rId2"/><Relationship Type="http://schemas.openxmlformats.org/officeDocument/2006/relationships/hyperlink" Target="https://octopusdtlsupport.atlassian.net/browse/FF-512" TargetMode="External" Id="rId3"/><Relationship Type="http://schemas.openxmlformats.org/officeDocument/2006/relationships/hyperlink" Target="https://octopusdtlsupport.atlassian.net/browse/FF-517" TargetMode="External" Id="rId4"/><Relationship Type="http://schemas.openxmlformats.org/officeDocument/2006/relationships/hyperlink" Target="https://octopusdtlsupport.atlassian.net/browse/FF-302" TargetMode="External" Id="rId5"/><Relationship Type="http://schemas.openxmlformats.org/officeDocument/2006/relationships/hyperlink" Target="https://octopusdtlsupport.atlassian.net/browse/FF-312" TargetMode="External" Id="rId6"/><Relationship Type="http://schemas.openxmlformats.org/officeDocument/2006/relationships/hyperlink" Target="https://octopusdtlsupport.atlassian.net/browse/FF-498" TargetMode="External" Id="rId7"/><Relationship Type="http://schemas.openxmlformats.org/officeDocument/2006/relationships/hyperlink" Target="https://octopusdtlsupport.atlassian.net/browse/FF-274" TargetMode="External" Id="rId8"/><Relationship Type="http://schemas.openxmlformats.org/officeDocument/2006/relationships/hyperlink" Target="https://octopusdtlsupport.atlassian.net/browse/FF-542" TargetMode="External" Id="rId9"/></Relationships>
</file>

<file path=xl/worksheets/_rels/sheet5.xml.rels><Relationships xmlns="http://schemas.openxmlformats.org/package/2006/relationships"><Relationship Type="http://schemas.openxmlformats.org/officeDocument/2006/relationships/hyperlink" Target="https://octopusdtlsupport.atlassian.net/browse/O2-1461" TargetMode="External" Id="rId1"/><Relationship Type="http://schemas.openxmlformats.org/officeDocument/2006/relationships/hyperlink" Target="https://octopusdtlsupport.atlassian.net/browse/MN-30" TargetMode="External" Id="rId2"/><Relationship Type="http://schemas.openxmlformats.org/officeDocument/2006/relationships/hyperlink" Target="https://octopusdtlsupport.atlassian.net/browse/MN-75" TargetMode="External" Id="rId3"/><Relationship Type="http://schemas.openxmlformats.org/officeDocument/2006/relationships/hyperlink" Target="https://octopusdtlsupport.atlassian.net/browse/MN-76" TargetMode="External" Id="rId4"/><Relationship Type="http://schemas.openxmlformats.org/officeDocument/2006/relationships/hyperlink" Target="https://octopusdtlsupport.atlassian.net/browse/MN-77" TargetMode="External" Id="rId5"/><Relationship Type="http://schemas.openxmlformats.org/officeDocument/2006/relationships/hyperlink" Target="https://octopusdtlsupport.atlassian.net/browse/MN-153" TargetMode="External" Id="rId6"/><Relationship Type="http://schemas.openxmlformats.org/officeDocument/2006/relationships/hyperlink" Target="https://octopusdtlsupport.atlassian.net/browse/MN-29" TargetMode="External" Id="rId7"/><Relationship Type="http://schemas.openxmlformats.org/officeDocument/2006/relationships/hyperlink" Target="https://octopusdtlsupport.atlassian.net/browse/MN-32" TargetMode="External" Id="rId8"/><Relationship Type="http://schemas.openxmlformats.org/officeDocument/2006/relationships/hyperlink" Target="https://octopusdtlsupport.atlassian.net/browse/MN-31" TargetMode="External" Id="rId9"/><Relationship Type="http://schemas.openxmlformats.org/officeDocument/2006/relationships/hyperlink" Target="https://octopusdtlsupport.atlassian.net/browse/MN-53" TargetMode="External" Id="rId10"/><Relationship Type="http://schemas.openxmlformats.org/officeDocument/2006/relationships/hyperlink" Target="https://octopusdtlsupport.atlassian.net/browse/MN-78" TargetMode="External" Id="rId11"/></Relationships>
</file>

<file path=xl/worksheets/_rels/sheet8.xml.rels><Relationships xmlns="http://schemas.openxmlformats.org/package/2006/relationships"><Relationship Type="http://schemas.openxmlformats.org/officeDocument/2006/relationships/hyperlink" Target="https://octopusdtlsupport.atlassian.net/browse/DIGITALLOG-221" TargetMode="External" Id="rId1"/><Relationship Type="http://schemas.openxmlformats.org/officeDocument/2006/relationships/hyperlink" Target="https://octopusdtlsupport.atlassian.net/browse/DIGITALLOG-223" TargetMode="External" Id="rId2"/><Relationship Type="http://schemas.openxmlformats.org/officeDocument/2006/relationships/hyperlink" Target="https://octopusdtlsupport.atlassian.net/browse/DIGITALLOG-222" TargetMode="External" Id="rId3"/><Relationship Type="http://schemas.openxmlformats.org/officeDocument/2006/relationships/hyperlink" Target="https://octopusdtlsupport.atlassian.net/browse/DIGITALLOG-259" TargetMode="External" Id="rId4"/></Relationships>
</file>

<file path=xl/worksheets/sheet1.xml><?xml version="1.0" encoding="utf-8"?>
<worksheet xmlns="http://schemas.openxmlformats.org/spreadsheetml/2006/main">
  <sheetPr>
    <outlinePr summaryBelow="1" summaryRight="1"/>
    <pageSetUpPr/>
  </sheetPr>
  <dimension ref="B2:H14"/>
  <sheetViews>
    <sheetView showGridLines="0" topLeftCell="A6" workbookViewId="0">
      <selection activeCell="D10" sqref="D10"/>
    </sheetView>
  </sheetViews>
  <sheetFormatPr baseColWidth="8" defaultColWidth="24" defaultRowHeight="24.75" customHeight="1"/>
  <cols>
    <col width="41.44140625" customWidth="1" style="300" min="3" max="3"/>
    <col width="38.44140625" customWidth="1" style="300" min="4" max="4"/>
    <col width="48.88671875" customWidth="1" style="300" min="5" max="5"/>
    <col width="38.44140625" customWidth="1" style="300" min="6" max="7"/>
  </cols>
  <sheetData>
    <row r="2" ht="24.75" customHeight="1" s="300">
      <c r="F2" s="109" t="inlineStr">
        <is>
          <t>Most-likely</t>
        </is>
      </c>
      <c r="G2" s="110" t="inlineStr">
        <is>
          <t>Face value</t>
        </is>
      </c>
    </row>
    <row r="3" ht="24.75" customHeight="1" s="300">
      <c r="F3" s="111" t="inlineStr">
        <is>
          <t>Optimistic</t>
        </is>
      </c>
      <c r="G3" s="110" t="inlineStr">
        <is>
          <t>Might take lesser effort</t>
        </is>
      </c>
    </row>
    <row r="4" ht="24.75" customHeight="1" s="300">
      <c r="F4" s="112" t="inlineStr">
        <is>
          <t>Pessimistic</t>
        </is>
      </c>
      <c r="G4" s="110" t="inlineStr">
        <is>
          <t>Might take more effort</t>
        </is>
      </c>
    </row>
    <row r="5" ht="17.25" customHeight="1" s="300">
      <c r="F5" s="108" t="inlineStr">
        <is>
          <t>Calculated Man-Days</t>
        </is>
      </c>
      <c r="G5" s="110" t="inlineStr">
        <is>
          <t>Calibrated estimate</t>
        </is>
      </c>
    </row>
    <row r="6" ht="30" customHeight="1" s="300">
      <c r="B6" s="222" t="inlineStr">
        <is>
          <t>MAN-DAYS</t>
        </is>
      </c>
    </row>
    <row r="7" ht="24.75" customHeight="1" s="300">
      <c r="E7" s="161">
        <f>"50%"</f>
        <v/>
      </c>
      <c r="F7" s="161">
        <f>"10%"</f>
        <v/>
      </c>
    </row>
    <row r="8" ht="42.75" customHeight="1" s="300">
      <c r="B8" s="140" t="inlineStr">
        <is>
          <t># of Epics</t>
        </is>
      </c>
      <c r="C8" s="140" t="inlineStr">
        <is>
          <t>Product</t>
        </is>
      </c>
      <c r="D8" s="141" t="inlineStr">
        <is>
          <t>Most-likely Man-days</t>
        </is>
      </c>
      <c r="E8" s="142">
        <f>"Optimistic Man-days ("&amp;E7&amp;")"</f>
        <v/>
      </c>
      <c r="F8" s="143">
        <f>"Pessimistic ("&amp; F7&amp;")"</f>
        <v/>
      </c>
      <c r="G8" s="144" t="inlineStr">
        <is>
          <t>Calculated Man-Days</t>
        </is>
      </c>
      <c r="H8" s="190" t="inlineStr">
        <is>
          <t>TK Approved</t>
        </is>
      </c>
    </row>
    <row r="9" ht="42.75" customHeight="1" s="300">
      <c r="B9" s="159">
        <f>COUNTA('OmniConnect RMI'!D:D)</f>
        <v/>
      </c>
      <c r="C9" s="145" t="inlineStr">
        <is>
          <t>OmniConnect</t>
        </is>
      </c>
      <c r="D9" s="146">
        <f>SUM('OmniConnect RMI'!V:V)</f>
        <v/>
      </c>
      <c r="E9" s="147">
        <f>SUM('OmniConnect RMI'!W:W)</f>
        <v/>
      </c>
      <c r="F9" s="148">
        <f>SUM('OmniConnect RMI'!X:X)</f>
        <v/>
      </c>
      <c r="G9" s="149">
        <f>SUM('OmniConnect RMI'!Y:Y)</f>
        <v/>
      </c>
      <c r="H9" s="191">
        <f>G9/2</f>
        <v/>
      </c>
    </row>
    <row r="10" ht="42.75" customHeight="1" s="300">
      <c r="B10" s="160">
        <f>COUNTA('Fintech Fuel RMI'!D:D)</f>
        <v/>
      </c>
      <c r="C10" s="150" t="inlineStr">
        <is>
          <t>Fintech Fuel</t>
        </is>
      </c>
      <c r="D10" s="151">
        <f>SUM('Fintech Fuel RMI'!V:V)</f>
        <v/>
      </c>
      <c r="E10" s="152">
        <f>SUM('Fintech Fuel RMI'!W:W)</f>
        <v/>
      </c>
      <c r="F10" s="153">
        <f>SUM('Fintech Fuel RMI'!X:X)</f>
        <v/>
      </c>
      <c r="G10" s="154">
        <f>SUM('Fintech Fuel RMI'!Y:Y)</f>
        <v/>
      </c>
      <c r="H10" s="191">
        <f>G10/2</f>
        <v/>
      </c>
    </row>
    <row r="11" ht="42.75" customHeight="1" s="300">
      <c r="B11" s="160">
        <f>COUNTA('OmniChat RMI'!D:D)</f>
        <v/>
      </c>
      <c r="C11" s="150" t="inlineStr">
        <is>
          <t>OmniChat</t>
        </is>
      </c>
      <c r="D11" s="151">
        <f>SUM('OmniChat RMI'!V:V)</f>
        <v/>
      </c>
      <c r="E11" s="152">
        <f>SUM('OmniChat RMI'!W:W)</f>
        <v/>
      </c>
      <c r="F11" s="153">
        <f>SUM('OmniChat RMI'!X:X)</f>
        <v/>
      </c>
      <c r="G11" s="154">
        <f>SUM('OmniChat RMI'!Y:Y)</f>
        <v/>
      </c>
      <c r="H11" s="191">
        <f>G11/2</f>
        <v/>
      </c>
    </row>
    <row r="12" ht="42.75" customHeight="1" s="300">
      <c r="B12" s="160">
        <f>COUNTA('Digital Log RMI'!D:D)</f>
        <v/>
      </c>
      <c r="C12" s="150" t="inlineStr">
        <is>
          <t>Digital Log</t>
        </is>
      </c>
      <c r="D12" s="151">
        <f>SUM('Digital Log RMI'!V:V)</f>
        <v/>
      </c>
      <c r="E12" s="152">
        <f>SUM('Digital Log RMI'!W:W)</f>
        <v/>
      </c>
      <c r="F12" s="153">
        <f>SUM('Digital Log RMI'!X:X)</f>
        <v/>
      </c>
      <c r="G12" s="154">
        <f>SUM('Digital Log RMI'!Y:Y)</f>
        <v/>
      </c>
      <c r="H12" s="191">
        <f>G12/2</f>
        <v/>
      </c>
    </row>
    <row r="13" ht="42.75" customHeight="1" s="300">
      <c r="B13" s="215" t="n"/>
      <c r="C13" s="140" t="inlineStr">
        <is>
          <t>Support (3 person)</t>
        </is>
      </c>
      <c r="D13" s="220" t="n">
        <v>176</v>
      </c>
      <c r="E13" s="216" t="n">
        <v>88</v>
      </c>
      <c r="F13" s="217" t="n">
        <v>193.6</v>
      </c>
      <c r="G13" s="218" t="n">
        <v>164.2666666666667</v>
      </c>
      <c r="H13" s="219">
        <f>G13</f>
        <v/>
      </c>
    </row>
    <row r="14" ht="24.75" customHeight="1" s="300">
      <c r="C14" s="155" t="inlineStr">
        <is>
          <t>Total</t>
        </is>
      </c>
      <c r="D14" s="221">
        <f>SUM(D9:D12,D13)</f>
        <v/>
      </c>
      <c r="E14" s="156">
        <f>SUM(E9:E12,E13)</f>
        <v/>
      </c>
      <c r="F14" s="157">
        <f>SUM(F9:F12,F13)</f>
        <v/>
      </c>
      <c r="G14" s="158">
        <f>SUM(G9:G12,G13)</f>
        <v/>
      </c>
      <c r="H14" s="192">
        <f>SUM(H9:H12,H13)</f>
        <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P53"/>
  <sheetViews>
    <sheetView zoomScaleNormal="100" workbookViewId="0">
      <pane xSplit="6" ySplit="2" topLeftCell="Z25" activePane="bottomRight" state="frozen"/>
      <selection pane="topRight" activeCell="E1" sqref="E1"/>
      <selection pane="bottomLeft" activeCell="A3" sqref="A3"/>
      <selection pane="bottomRight" activeCell="D31" sqref="D31"/>
    </sheetView>
  </sheetViews>
  <sheetFormatPr baseColWidth="8" defaultRowHeight="18" customHeight="1"/>
  <cols>
    <col width="4.6640625" customWidth="1" style="300" min="1" max="1"/>
    <col width="14" bestFit="1" customWidth="1" style="300" min="2" max="2"/>
    <col width="26.109375" bestFit="1" customWidth="1" style="19" min="3" max="3"/>
    <col width="60.88671875" customWidth="1" style="54" min="4" max="4"/>
    <col width="15.5546875" customWidth="1" style="54" min="5" max="5"/>
    <col width="12.6640625" bestFit="1" customWidth="1" style="300" min="6" max="6"/>
    <col width="10.5546875" bestFit="1" customWidth="1" style="300" min="7" max="7"/>
    <col width="7.33203125" bestFit="1" customWidth="1" style="299" min="8" max="11"/>
    <col width="10.44140625" bestFit="1" customWidth="1" style="299" min="12" max="12"/>
    <col width="9.88671875" bestFit="1" customWidth="1" style="299" min="13" max="13"/>
    <col width="6.44140625" bestFit="1" customWidth="1" style="299" min="14" max="15"/>
    <col width="4.33203125" bestFit="1" customWidth="1" style="299" min="16" max="16"/>
    <col width="4.5546875" bestFit="1" customWidth="1" style="299" min="17" max="17"/>
    <col width="7.6640625" bestFit="1" customWidth="1" style="299" min="18" max="18"/>
    <col width="4.33203125" bestFit="1" customWidth="1" style="299" min="19" max="19"/>
    <col width="8.33203125" bestFit="1" customWidth="1" style="299" min="20" max="20"/>
    <col width="7.6640625" bestFit="1" customWidth="1" style="299" min="21" max="21"/>
    <col width="9.33203125" bestFit="1" customWidth="1" style="299" min="22" max="22"/>
    <col width="15.33203125" bestFit="1" customWidth="1" style="295" min="23" max="23"/>
    <col width="16" bestFit="1" customWidth="1" style="295" min="24" max="24"/>
    <col width="11" bestFit="1" customWidth="1" style="296" min="25" max="25"/>
    <col width="11" customWidth="1" style="297" min="26" max="26"/>
    <col width="18" customWidth="1" style="298" min="27" max="27"/>
    <col width="11" customWidth="1" style="298" min="28" max="30"/>
    <col width="10.44140625" bestFit="1" customWidth="1" style="299" min="31" max="31"/>
    <col width="11.33203125" bestFit="1" customWidth="1" style="299" min="32" max="32"/>
    <col width="12.5546875" bestFit="1" customWidth="1" style="299" min="33" max="33"/>
    <col width="10.109375" bestFit="1" customWidth="1" style="299" min="34" max="34"/>
    <col width="10.44140625" bestFit="1" customWidth="1" style="299" min="35" max="35"/>
    <col width="14" bestFit="1" customWidth="1" style="299" min="36" max="36"/>
    <col width="10.109375" bestFit="1" customWidth="1" style="299" min="37" max="37"/>
    <col width="14.44140625" bestFit="1" customWidth="1" style="299" min="38" max="38"/>
    <col width="8" bestFit="1" customWidth="1" style="299" min="39" max="39"/>
    <col width="84.44140625" bestFit="1" customWidth="1" style="300" min="41" max="41"/>
  </cols>
  <sheetData>
    <row r="1" ht="15" customHeight="1" s="300">
      <c r="A1" s="285" t="inlineStr">
        <is>
          <t>OmniConnect Roadmap Items</t>
        </is>
      </c>
      <c r="B1" s="286" t="n"/>
      <c r="C1" s="286" t="n"/>
      <c r="D1" s="286" t="n"/>
      <c r="E1" s="227" t="n"/>
      <c r="F1" s="7" t="n"/>
      <c r="G1" s="7" t="n"/>
      <c r="H1" s="40" t="inlineStr">
        <is>
          <t>BHW</t>
        </is>
      </c>
      <c r="I1" s="40" t="inlineStr">
        <is>
          <t>TK</t>
        </is>
      </c>
      <c r="J1" s="40" t="inlineStr">
        <is>
          <t>AA</t>
        </is>
      </c>
      <c r="K1" s="40" t="inlineStr">
        <is>
          <t>TS</t>
        </is>
      </c>
      <c r="L1" s="41" t="n"/>
      <c r="M1" s="293" t="inlineStr">
        <is>
          <t>RnD Most likely</t>
        </is>
      </c>
      <c r="N1" s="286" t="n"/>
      <c r="O1" s="286" t="n"/>
      <c r="P1" s="286" t="n"/>
      <c r="Q1" s="286" t="n"/>
      <c r="R1" s="286" t="n"/>
      <c r="S1" s="286" t="n"/>
      <c r="T1" s="286" t="n"/>
      <c r="U1" s="286" t="n"/>
      <c r="V1" s="286" t="n"/>
      <c r="W1" s="294" t="inlineStr">
        <is>
          <t>TK Budgeted</t>
        </is>
      </c>
      <c r="AP1" t="inlineStr">
        <is>
          <t>`=($Y3-($M3+$T3+$Q3)) * (SUBSTITUTE(MID(AH$2, SEARCH("(", AH$2) + 1, 5), "%)", "") / 100)</t>
        </is>
      </c>
    </row>
    <row r="2" ht="15" customHeight="1" s="300">
      <c r="A2" s="3" t="inlineStr">
        <is>
          <t>Sr #</t>
        </is>
      </c>
      <c r="B2" s="3" t="inlineStr">
        <is>
          <t>Category</t>
        </is>
      </c>
      <c r="C2" s="32" t="inlineStr">
        <is>
          <t>Components</t>
        </is>
      </c>
      <c r="D2" s="51" t="inlineStr">
        <is>
          <t>Road Map Items</t>
        </is>
      </c>
      <c r="E2" s="51" t="inlineStr">
        <is>
          <t>Jira ID</t>
        </is>
      </c>
      <c r="F2" s="3" t="inlineStr">
        <is>
          <t>Originator</t>
        </is>
      </c>
      <c r="G2" s="3" t="inlineStr">
        <is>
          <t>Value</t>
        </is>
      </c>
      <c r="H2" s="42" t="inlineStr">
        <is>
          <t>Priority</t>
        </is>
      </c>
      <c r="I2" s="42" t="inlineStr">
        <is>
          <t>Priority</t>
        </is>
      </c>
      <c r="J2" s="42" t="inlineStr">
        <is>
          <t>Priority</t>
        </is>
      </c>
      <c r="K2" s="42" t="inlineStr">
        <is>
          <t>Priority</t>
        </is>
      </c>
      <c r="L2" s="40" t="inlineStr">
        <is>
          <t>Plan Status</t>
        </is>
      </c>
      <c r="M2" s="43" t="inlineStr">
        <is>
          <t>Prc Design</t>
        </is>
      </c>
      <c r="N2" s="43" t="inlineStr">
        <is>
          <t>R/URS</t>
        </is>
      </c>
      <c r="O2" s="43" t="inlineStr">
        <is>
          <t>R/DDS</t>
        </is>
      </c>
      <c r="P2" s="43" t="inlineStr">
        <is>
          <t>Dev</t>
        </is>
      </c>
      <c r="Q2" s="43" t="inlineStr">
        <is>
          <t>SQA</t>
        </is>
      </c>
      <c r="R2" s="43" t="inlineStr">
        <is>
          <t>Prc Test</t>
        </is>
      </c>
      <c r="S2" s="43" t="inlineStr">
        <is>
          <t>Doc</t>
        </is>
      </c>
      <c r="T2" s="43" t="inlineStr">
        <is>
          <t>Reg SQA</t>
        </is>
      </c>
      <c r="U2" s="43" t="inlineStr">
        <is>
          <t>Release</t>
        </is>
      </c>
      <c r="V2" s="44" t="inlineStr">
        <is>
          <t>Man Days</t>
        </is>
      </c>
      <c r="W2" s="173">
        <f>"Optimistic ("&amp;Summary!E7&amp;")"</f>
        <v/>
      </c>
      <c r="X2" s="173" t="inlineStr">
        <is>
          <t>Pessimistic (10%)</t>
        </is>
      </c>
      <c r="Y2" s="174" t="inlineStr">
        <is>
          <t>Est Formula</t>
        </is>
      </c>
      <c r="Z2" s="201" t="inlineStr">
        <is>
          <t>TK's TARGET</t>
        </is>
      </c>
      <c r="AA2" s="166" t="inlineStr">
        <is>
          <t>Start Date</t>
        </is>
      </c>
      <c r="AB2" s="166" t="inlineStr">
        <is>
          <t>Dev End</t>
        </is>
      </c>
      <c r="AC2" s="166" t="inlineStr">
        <is>
          <t>SQA HO</t>
        </is>
      </c>
      <c r="AD2" s="166" t="inlineStr">
        <is>
          <t>Prod Date</t>
        </is>
      </c>
      <c r="AE2" s="203" t="inlineStr">
        <is>
          <t>Prc Design</t>
        </is>
      </c>
      <c r="AF2" s="77" t="inlineStr">
        <is>
          <t>R/URS (5%)</t>
        </is>
      </c>
      <c r="AG2" s="77" t="inlineStr">
        <is>
          <t>R/DDS (10%)</t>
        </is>
      </c>
      <c r="AH2" s="77" t="inlineStr">
        <is>
          <t>Dev (40%)</t>
        </is>
      </c>
      <c r="AI2" s="77" t="inlineStr">
        <is>
          <t>SQA (15%)</t>
        </is>
      </c>
      <c r="AJ2" s="281" t="inlineStr">
        <is>
          <t>Bug Fixing (15%)</t>
        </is>
      </c>
      <c r="AK2" s="203" t="inlineStr">
        <is>
          <t>Prc Test</t>
        </is>
      </c>
      <c r="AL2" s="77" t="inlineStr">
        <is>
          <t>Doc (5%)</t>
        </is>
      </c>
      <c r="AM2" s="77" t="inlineStr">
        <is>
          <t>Reg SQA (10%)</t>
        </is>
      </c>
      <c r="AN2" s="203" t="inlineStr">
        <is>
          <t>Release</t>
        </is>
      </c>
    </row>
    <row r="3" ht="15" customHeight="1" s="300">
      <c r="A3" s="1" t="n">
        <v>1</v>
      </c>
      <c r="B3" s="291" t="inlineStr">
        <is>
          <t>Input</t>
        </is>
      </c>
      <c r="C3" s="289" t="inlineStr">
        <is>
          <t>Streaming</t>
        </is>
      </c>
      <c r="D3" s="197" t="inlineStr">
        <is>
          <t>OC Streaming (80% done)</t>
        </is>
      </c>
      <c r="E3" s="228" t="inlineStr">
        <is>
          <t>https://octopusdtlsupport.atlassian.net/browse/O2-793</t>
        </is>
      </c>
      <c r="F3" s="1" t="inlineStr">
        <is>
          <t>RnD</t>
        </is>
      </c>
      <c r="G3" s="1" t="n"/>
      <c r="H3" s="24" t="n">
        <v>1</v>
      </c>
      <c r="I3" s="24" t="n"/>
      <c r="J3" s="24" t="n"/>
      <c r="K3" s="24" t="n">
        <v>1</v>
      </c>
      <c r="L3" s="24" t="inlineStr">
        <is>
          <t>Plan</t>
        </is>
      </c>
      <c r="M3" s="24" t="n"/>
      <c r="N3" s="24" t="n">
        <v>2</v>
      </c>
      <c r="O3" s="24" t="n">
        <v>20</v>
      </c>
      <c r="P3" s="24" t="n">
        <v>40</v>
      </c>
      <c r="Q3" s="24" t="n">
        <v>20</v>
      </c>
      <c r="R3" s="24" t="n"/>
      <c r="S3" s="24" t="n">
        <v>0</v>
      </c>
      <c r="T3" s="24" t="n">
        <v>2</v>
      </c>
      <c r="U3" s="24" t="n"/>
      <c r="V3" s="45">
        <f>SUM(M3:U3)</f>
        <v/>
      </c>
      <c r="W3" s="170">
        <f>V3 - (V3 * (SUBSTITUTE(SUBSTITUTE($W$2, "Optimistic (", ""), "%)", "") / 100))</f>
        <v/>
      </c>
      <c r="X3" s="170">
        <f>V3 + (W3 * (SUBSTITUTE(SUBSTITUTE($W$2, "Optimistic (", ""), "%)", "") / 100))</f>
        <v/>
      </c>
      <c r="Y3" s="175">
        <f>(W3+(4*V3)+X3)/6</f>
        <v/>
      </c>
      <c r="Z3" s="201">
        <f>Y3/2</f>
        <v/>
      </c>
      <c r="AA3" s="179" t="n"/>
      <c r="AB3" s="179" t="n"/>
      <c r="AC3" s="179" t="n"/>
      <c r="AD3" s="179">
        <f>AC3+5</f>
        <v/>
      </c>
      <c r="AE3" s="200">
        <f>IF($Z3="",0,IF($M3="",0,$M3))</f>
        <v/>
      </c>
      <c r="AF3" s="200">
        <f>IF(OR($Z3="",$N3=""),0,$Z3*5%)</f>
        <v/>
      </c>
      <c r="AG3" s="200">
        <f>IF(OR($Z3="",$O3=""),0,$Z3*10%)</f>
        <v/>
      </c>
      <c r="AH3" s="200">
        <f>IF($Z3="",0,IF(AND($P3="",$Q3=""),($Z3-$AE3-$AF3-$AG3-$AJ3-$AK3-$AL3-$AM3-$AN3),IF($P3="",0,IF($Q3="",($Z3-$AE3-$AF3-$AG3-$AJ3-$AK3-$AL3-$AM3-$AN3),($Z3-$AE3-$AF3-$AG3-$AJ3-$AK3-$AL3-$AM3-$AN3)*40%/(40%+15%)))))</f>
        <v/>
      </c>
      <c r="AI3" s="200">
        <f>IF($Z3="",0,IF(AND($P3="",$Q3=""),0,IF($Q3="",0,IF($P3="",($Z3-$AE3-$AF3-$AG3-$AJ3-$AK3-$AL3-$AM3-$AN3),($Z3-$AE3-$AF3-$AG3-$AJ3-$AK3-$AL3-$AM3-$AN3)*15%/(40%+15%)))))</f>
        <v/>
      </c>
      <c r="AJ3" s="282">
        <f>IF($Z3="",0,$Z3*15%)</f>
        <v/>
      </c>
      <c r="AK3" s="200">
        <f>IF($Z3="",0,IF($R3="",0,$R3))</f>
        <v/>
      </c>
      <c r="AL3" s="200">
        <f>IF(OR($Z3="",$S3=""),0,$Z3*5%)</f>
        <v/>
      </c>
      <c r="AM3" s="200">
        <f>IF(OR($Z3="",$T3=""),0,$Z3*10%)</f>
        <v/>
      </c>
      <c r="AN3" s="200">
        <f>IF($Z3="",0,IF($U3="",0,$U3))</f>
        <v/>
      </c>
      <c r="AO3" s="56">
        <f>SUM(AE3:AM3)</f>
        <v/>
      </c>
    </row>
    <row r="4" ht="15" customHeight="1" s="300">
      <c r="A4" s="1" t="n">
        <v>2</v>
      </c>
      <c r="B4" s="290" t="n"/>
      <c r="C4" s="288" t="n"/>
      <c r="D4" s="52" t="inlineStr">
        <is>
          <t xml:space="preserve">OC streaming on Pub Sub </t>
        </is>
      </c>
      <c r="E4" s="52" t="n"/>
      <c r="F4" s="1" t="inlineStr">
        <is>
          <t>Imp Team</t>
        </is>
      </c>
      <c r="G4" s="1" t="n"/>
      <c r="H4" s="24" t="n">
        <v>1</v>
      </c>
      <c r="I4" s="24" t="n"/>
      <c r="J4" s="24" t="n"/>
      <c r="K4" s="24" t="n">
        <v>1</v>
      </c>
      <c r="L4" s="24" t="inlineStr">
        <is>
          <t>UnPlan</t>
        </is>
      </c>
      <c r="M4" s="24" t="n"/>
      <c r="N4" s="24" t="n"/>
      <c r="O4" s="24" t="n"/>
      <c r="P4" s="24" t="n"/>
      <c r="Q4" s="24" t="n"/>
      <c r="R4" s="24" t="n"/>
      <c r="S4" s="24" t="n"/>
      <c r="T4" s="24" t="n"/>
      <c r="U4" s="24" t="n"/>
      <c r="V4" s="45">
        <f>SUM(M4:U4)</f>
        <v/>
      </c>
      <c r="W4" s="170">
        <f>V4 - (V4 * (SUBSTITUTE(SUBSTITUTE($W$2, "Optimistic (", ""), "%)", "") / 100))</f>
        <v/>
      </c>
      <c r="X4" s="170">
        <f>V4 + (W4 * (SUBSTITUTE(SUBSTITUTE($W$2, "Optimistic (", ""), "%)", "") / 100))</f>
        <v/>
      </c>
      <c r="Y4" s="175">
        <f>(W4+(4*V4)+X4)/6</f>
        <v/>
      </c>
      <c r="Z4" s="201">
        <f>Y4/2</f>
        <v/>
      </c>
      <c r="AA4" s="179" t="n"/>
      <c r="AB4" s="179" t="n"/>
      <c r="AC4" s="179" t="n"/>
      <c r="AD4" s="179" t="n"/>
      <c r="AE4" s="200">
        <f>IF($Z4="",0,IF($M4="",0,$M4))</f>
        <v/>
      </c>
      <c r="AF4" s="200">
        <f>IF(OR($Z4="",$N4=""),0,$Z4*5%)</f>
        <v/>
      </c>
      <c r="AG4" s="200">
        <f>IF(OR($Z4="",$O4=""),0,$Z4*10%)</f>
        <v/>
      </c>
      <c r="AH4" s="200">
        <f>IF($Z4="",0,IF(AND($P4="",$Q4=""),($Z4-$AE4-$AF4-$AG4-$AJ4-$AK4-$AL4-$AM4-$AN4),IF($P4="",0,IF($Q4="",($Z4-$AE4-$AF4-$AG4-$AJ4-$AK4-$AL4-$AM4-$AN4),($Z4-$AE4-$AF4-$AG4-$AJ4-$AK4-$AL4-$AM4-$AN4)*40%/(40%+15%)))))</f>
        <v/>
      </c>
      <c r="AI4" s="200">
        <f>IF($Z4="",0,IF(AND($P4="",$Q4=""),0,IF($Q4="",0,IF($P4="",($Z4-$AE4-$AF4-$AG4-$AJ4-$AK4-$AL4-$AM4-$AN4),($Z4-$AE4-$AF4-$AG4-$AJ4-$AK4-$AL4-$AM4-$AN4)*15%/(40%+15%)))))</f>
        <v/>
      </c>
      <c r="AJ4" s="282">
        <f>IF($Z4="",0,$Z4*15%)</f>
        <v/>
      </c>
      <c r="AK4" s="200">
        <f>IF($Z4="",0,IF($R4="",0,$R4))</f>
        <v/>
      </c>
      <c r="AL4" s="200">
        <f>IF(OR($Z4="",$S4=""),0,$Z4*5%)</f>
        <v/>
      </c>
      <c r="AM4" s="200">
        <f>IF(OR($Z4="",$T4=""),0,$Z4*10%)</f>
        <v/>
      </c>
      <c r="AN4" s="200">
        <f>IF($Z4="",0,IF($U4="",0,$U4))</f>
        <v/>
      </c>
      <c r="AO4" s="56">
        <f>SUM(AE4:AM4)</f>
        <v/>
      </c>
    </row>
    <row r="5" ht="15" customHeight="1" s="300">
      <c r="A5" s="1" t="n">
        <v>3</v>
      </c>
      <c r="B5" s="290" t="n"/>
      <c r="C5" s="289" t="inlineStr">
        <is>
          <t>Bulk Device creation</t>
        </is>
      </c>
      <c r="D5" s="63" t="inlineStr">
        <is>
          <t>BULK DEVICE CREATION FOR NON SMART DEVICES (on hold, no further thought process undertaken)
Current feature is to bulk create MQTT/IOT devices which has ability to directly connect to Azure IOT hub as an independent devices.
It does not cover the schenario where multiple non smart devices are connected to one gateway from where the data is send to cloud.
Now need is to replicate such non smart devices (connected to gateway) on OC as logical devices.</t>
        </is>
      </c>
      <c r="E5" s="53" t="n"/>
      <c r="F5" s="291" t="inlineStr">
        <is>
          <t>Management</t>
        </is>
      </c>
      <c r="G5" s="1" t="n"/>
      <c r="H5" s="24" t="n">
        <v>2</v>
      </c>
      <c r="I5" s="24" t="n"/>
      <c r="J5" s="24" t="n"/>
      <c r="K5" s="24" t="n">
        <v>2</v>
      </c>
      <c r="L5" s="24" t="n"/>
      <c r="M5" s="24" t="n"/>
      <c r="N5" s="24" t="n"/>
      <c r="O5" s="24" t="n"/>
      <c r="P5" s="24" t="n"/>
      <c r="Q5" s="24" t="n">
        <v>5</v>
      </c>
      <c r="R5" s="24" t="n"/>
      <c r="S5" s="24" t="n"/>
      <c r="T5" s="24" t="n"/>
      <c r="U5" s="24" t="n">
        <v>1</v>
      </c>
      <c r="V5" s="45">
        <f>SUM(M5:U5)</f>
        <v/>
      </c>
      <c r="W5" s="170">
        <f>V5 - (V5 * (SUBSTITUTE(SUBSTITUTE($W$2, "Optimistic (", ""), "%)", "") / 100))</f>
        <v/>
      </c>
      <c r="X5" s="170">
        <f>V5 + (W5 * (SUBSTITUTE(SUBSTITUTE($W$2, "Optimistic (", ""), "%)", "") / 100))</f>
        <v/>
      </c>
      <c r="Y5" s="175">
        <f>(W5+(4*V5)+X5)/6</f>
        <v/>
      </c>
      <c r="Z5" s="201">
        <f>Y5/2</f>
        <v/>
      </c>
      <c r="AA5" s="179" t="n"/>
      <c r="AB5" s="179" t="n"/>
      <c r="AC5" s="179" t="n"/>
      <c r="AD5" s="179" t="n"/>
      <c r="AE5" s="200">
        <f>IF($Z5="",0,IF($M5="",0,$M5))</f>
        <v/>
      </c>
      <c r="AF5" s="200">
        <f>IF(OR($Z5="",$N5=""),0,$Z5*5%)</f>
        <v/>
      </c>
      <c r="AG5" s="200">
        <f>IF(OR($Z5="",$O5=""),0,$Z5*10%)</f>
        <v/>
      </c>
      <c r="AH5" s="200">
        <f>IF($Z5="",0,IF(AND($P5="",$Q5=""),($Z5-$AE5-$AF5-$AG5-$AJ5-$AK5-$AL5-$AM5-$AN5),IF($P5="",0,IF($Q5="",($Z5-$AE5-$AF5-$AG5-$AJ5-$AK5-$AL5-$AM5-$AN5),($Z5-$AE5-$AF5-$AG5-$AJ5-$AK5-$AL5-$AM5-$AN5)*40%/(40%+15%)))))</f>
        <v/>
      </c>
      <c r="AI5" s="200">
        <f>IF($Z5="",0,IF(AND($P5="",$Q5=""),0,IF($Q5="",0,IF($P5="",($Z5-$AE5-$AF5-$AG5-$AJ5-$AK5-$AL5-$AM5-$AN5),($Z5-$AE5-$AF5-$AG5-$AJ5-$AK5-$AL5-$AM5-$AN5)*15%/(40%+15%)))))</f>
        <v/>
      </c>
      <c r="AJ5" s="282">
        <f>IF($Z5="",0,$Z5*15%)</f>
        <v/>
      </c>
      <c r="AK5" s="200">
        <f>IF($Z5="",0,IF($R5="",0,$R5))</f>
        <v/>
      </c>
      <c r="AL5" s="200">
        <f>IF(OR($Z5="",$S5=""),0,$Z5*5%)</f>
        <v/>
      </c>
      <c r="AM5" s="200">
        <f>IF(OR($Z5="",$T5=""),0,$Z5*10%)</f>
        <v/>
      </c>
      <c r="AN5" s="200">
        <f>IF($Z5="",0,IF($U5="",0,$U5))</f>
        <v/>
      </c>
      <c r="AO5" s="56">
        <f>SUM(AE5:AM5)</f>
        <v/>
      </c>
    </row>
    <row r="6" ht="15" customHeight="1" s="300">
      <c r="A6" s="1" t="n">
        <v>4</v>
      </c>
      <c r="B6" s="290" t="n"/>
      <c r="C6" s="62" t="inlineStr">
        <is>
          <t>Import Site Layout</t>
        </is>
      </c>
      <c r="D6" s="63" t="inlineStr">
        <is>
          <t>Import Site Layout catchup till date</t>
        </is>
      </c>
      <c r="E6" s="63" t="n"/>
      <c r="F6" s="61" t="inlineStr">
        <is>
          <t>RnD</t>
        </is>
      </c>
      <c r="G6" s="61" t="n"/>
      <c r="H6" s="60" t="n">
        <v>2</v>
      </c>
      <c r="I6" s="60" t="n"/>
      <c r="J6" s="60" t="n"/>
      <c r="K6" s="60" t="n">
        <v>3</v>
      </c>
      <c r="L6" s="60" t="inlineStr">
        <is>
          <t>UnPlan</t>
        </is>
      </c>
      <c r="M6" s="60" t="n"/>
      <c r="N6" s="60" t="n"/>
      <c r="O6" s="60" t="n"/>
      <c r="P6" s="60" t="n"/>
      <c r="Q6" s="60" t="n"/>
      <c r="R6" s="60" t="n"/>
      <c r="S6" s="60" t="n"/>
      <c r="T6" s="60" t="n"/>
      <c r="U6" s="60" t="n"/>
      <c r="V6" s="45">
        <f>SUM(M6:U6)</f>
        <v/>
      </c>
      <c r="W6" s="170">
        <f>V6 - (V6 * (SUBSTITUTE(SUBSTITUTE($W$2, "Optimistic (", ""), "%)", "") / 100))</f>
        <v/>
      </c>
      <c r="X6" s="170">
        <f>V6 + (W6 * (SUBSTITUTE(SUBSTITUTE($W$2, "Optimistic (", ""), "%)", "") / 100))</f>
        <v/>
      </c>
      <c r="Y6" s="175">
        <f>(W6+(4*V6)+X6)/6</f>
        <v/>
      </c>
      <c r="Z6" s="201">
        <f>Y6/2</f>
        <v/>
      </c>
      <c r="AA6" s="179" t="n"/>
      <c r="AB6" s="179" t="n"/>
      <c r="AC6" s="179" t="n"/>
      <c r="AD6" s="179" t="n"/>
      <c r="AE6" s="200">
        <f>IF($Z6="",0,IF($M6="",0,$M6))</f>
        <v/>
      </c>
      <c r="AF6" s="200">
        <f>IF(OR($Z6="",$N6=""),0,$Z6*5%)</f>
        <v/>
      </c>
      <c r="AG6" s="200">
        <f>IF(OR($Z6="",$O6=""),0,$Z6*10%)</f>
        <v/>
      </c>
      <c r="AH6" s="200">
        <f>IF($Z6="",0,IF(AND($P6="",$Q6=""),($Z6-$AE6-$AF6-$AG6-$AJ6-$AK6-$AL6-$AM6-$AN6),IF($P6="",0,IF($Q6="",($Z6-$AE6-$AF6-$AG6-$AJ6-$AK6-$AL6-$AM6-$AN6),($Z6-$AE6-$AF6-$AG6-$AJ6-$AK6-$AL6-$AM6-$AN6)*40%/(40%+15%)))))</f>
        <v/>
      </c>
      <c r="AI6" s="200">
        <f>IF($Z6="",0,IF(AND($P6="",$Q6=""),0,IF($Q6="",0,IF($P6="",($Z6-$AE6-$AF6-$AG6-$AJ6-$AK6-$AL6-$AM6-$AN6),($Z6-$AE6-$AF6-$AG6-$AJ6-$AK6-$AL6-$AM6-$AN6)*15%/(40%+15%)))))</f>
        <v/>
      </c>
      <c r="AJ6" s="282">
        <f>IF($Z6="",0,$Z6*15%)</f>
        <v/>
      </c>
      <c r="AK6" s="200">
        <f>IF($Z6="",0,IF($R6="",0,$R6))</f>
        <v/>
      </c>
      <c r="AL6" s="200">
        <f>IF(OR($Z6="",$S6=""),0,$Z6*5%)</f>
        <v/>
      </c>
      <c r="AM6" s="200">
        <f>IF(OR($Z6="",$T6=""),0,$Z6*10%)</f>
        <v/>
      </c>
      <c r="AN6" s="200">
        <f>IF($Z6="",0,IF($U6="",0,$U6))</f>
        <v/>
      </c>
      <c r="AO6" s="56">
        <f>SUM(AE6:AM6)</f>
        <v/>
      </c>
    </row>
    <row r="7" ht="15" customHeight="1" s="300">
      <c r="A7" s="1" t="n">
        <v>5</v>
      </c>
      <c r="B7" s="290" t="n"/>
      <c r="C7" s="289" t="inlineStr">
        <is>
          <t>Scheduled Pull</t>
        </is>
      </c>
      <c r="D7" s="52" t="inlineStr">
        <is>
          <t>Support for Wide tables from SQL Source</t>
        </is>
      </c>
      <c r="E7" s="229" t="inlineStr">
        <is>
          <t>https://octopusdtlsupport.atlassian.net/browse/O2-2188</t>
        </is>
      </c>
      <c r="F7" s="1" t="inlineStr">
        <is>
          <t>RnD</t>
        </is>
      </c>
      <c r="G7" s="1" t="n"/>
      <c r="H7" s="24" t="n"/>
      <c r="I7" s="24" t="n"/>
      <c r="J7" s="24" t="n"/>
      <c r="K7" s="24" t="n">
        <v>2</v>
      </c>
      <c r="L7" s="24" t="n"/>
      <c r="M7" s="24" t="n"/>
      <c r="N7" s="24" t="n"/>
      <c r="O7" s="24" t="n"/>
      <c r="P7" s="60">
        <f>10+2</f>
        <v/>
      </c>
      <c r="Q7" s="24" t="n">
        <v>2</v>
      </c>
      <c r="R7" s="24" t="n"/>
      <c r="S7" s="60" t="n">
        <v>2</v>
      </c>
      <c r="T7" s="24" t="n">
        <v>5</v>
      </c>
      <c r="U7" s="24">
        <f>(10+2)/3</f>
        <v/>
      </c>
      <c r="V7" s="45">
        <f>SUM(M7:U7)</f>
        <v/>
      </c>
      <c r="W7" s="170">
        <f>V7 - (V7 * (SUBSTITUTE(SUBSTITUTE($W$2, "Optimistic (", ""), "%)", "") / 100))</f>
        <v/>
      </c>
      <c r="X7" s="170">
        <f>V7 + (W7 * (SUBSTITUTE(SUBSTITUTE($W$2, "Optimistic (", ""), "%)", "") / 100))</f>
        <v/>
      </c>
      <c r="Y7" s="175">
        <f>(W7+(4*V7)+X7)/6</f>
        <v/>
      </c>
      <c r="Z7" s="201">
        <f>Y7/2</f>
        <v/>
      </c>
      <c r="AA7" s="179" t="n">
        <v>46150</v>
      </c>
      <c r="AB7" s="179" t="n">
        <v>46156</v>
      </c>
      <c r="AC7" s="179" t="n">
        <v>46157</v>
      </c>
      <c r="AD7" s="179" t="n">
        <v>46161</v>
      </c>
      <c r="AE7" s="200">
        <f>IF($Z7="",0,IF($M7="",0,$M7))</f>
        <v/>
      </c>
      <c r="AF7" s="200">
        <f>IF(OR($Z7="",$N7=""),0,$Z7*5%)</f>
        <v/>
      </c>
      <c r="AG7" s="200">
        <f>IF(OR($Z7="",$O7=""),0,$Z7*10%)</f>
        <v/>
      </c>
      <c r="AH7" s="200">
        <f>IF($Z7="",0,IF(AND($P7="",$Q7=""),($Z7-$AE7-$AF7-$AG7-$AJ7-$AK7-$AL7-$AM7-$AN7),IF($P7="",0,IF($Q7="",($Z7-$AE7-$AF7-$AG7-$AJ7-$AK7-$AL7-$AM7-$AN7),($Z7-$AE7-$AF7-$AG7-$AJ7-$AK7-$AL7-$AM7-$AN7)*40%/(40%+15%)))))</f>
        <v/>
      </c>
      <c r="AI7" s="200">
        <f>IF($Z7="",0,IF(AND($P7="",$Q7=""),0,IF($Q7="",0,IF($P7="",($Z7-$AE7-$AF7-$AG7-$AJ7-$AK7-$AL7-$AM7-$AN7),($Z7-$AE7-$AF7-$AG7-$AJ7-$AK7-$AL7-$AM7-$AN7)*15%/(40%+15%)))))</f>
        <v/>
      </c>
      <c r="AJ7" s="282">
        <f>IF($Z7="",0,$Z7*15%)</f>
        <v/>
      </c>
      <c r="AK7" s="200">
        <f>IF($Z7="",0,IF($R7="",0,$R7))</f>
        <v/>
      </c>
      <c r="AL7" s="200">
        <f>IF(OR($Z7="",$S7=""),0,$Z7*5%)</f>
        <v/>
      </c>
      <c r="AM7" s="200">
        <f>IF(OR($Z7="",$T7=""),0,$Z7*10%)</f>
        <v/>
      </c>
      <c r="AN7" s="200">
        <f>IF($Z7="",0,IF($U7="",0,$U7))</f>
        <v/>
      </c>
      <c r="AO7" s="56">
        <f>SUM(AE7:AM7)</f>
        <v/>
      </c>
      <c r="AP7" t="inlineStr">
        <is>
          <t>Need to understand this</t>
        </is>
      </c>
    </row>
    <row r="8" ht="15" customHeight="1" s="300">
      <c r="A8" s="1" t="n">
        <v>6</v>
      </c>
      <c r="B8" s="290" t="n"/>
      <c r="C8" s="290" t="n"/>
      <c r="D8" s="52" t="inlineStr">
        <is>
          <t>Support for Wide tables from API Source</t>
        </is>
      </c>
      <c r="E8" s="229" t="inlineStr">
        <is>
          <t>https://octopusdtlsupport.atlassian.net/browse/O2-2189</t>
        </is>
      </c>
      <c r="F8" s="1" t="inlineStr">
        <is>
          <t>RnD</t>
        </is>
      </c>
      <c r="G8" s="1" t="n"/>
      <c r="H8" s="24" t="n"/>
      <c r="I8" s="24" t="n"/>
      <c r="J8" s="24" t="n"/>
      <c r="K8" s="24" t="n">
        <v>2</v>
      </c>
      <c r="L8" s="24" t="n"/>
      <c r="M8" s="24" t="n"/>
      <c r="N8" s="24" t="n"/>
      <c r="O8" s="24" t="n"/>
      <c r="P8" s="60">
        <f>10+2</f>
        <v/>
      </c>
      <c r="Q8" s="24" t="n">
        <v>2</v>
      </c>
      <c r="R8" s="24" t="n"/>
      <c r="S8" s="60" t="n">
        <v>2</v>
      </c>
      <c r="T8" s="24" t="n">
        <v>5</v>
      </c>
      <c r="U8" s="24">
        <f>(10+2)/3</f>
        <v/>
      </c>
      <c r="V8" s="45">
        <f>SUM(M8:U8)</f>
        <v/>
      </c>
      <c r="W8" s="170">
        <f>V8 - (V8 * (SUBSTITUTE(SUBSTITUTE($W$2, "Optimistic (", ""), "%)", "") / 100))</f>
        <v/>
      </c>
      <c r="X8" s="170">
        <f>V8 + (W8 * (SUBSTITUTE(SUBSTITUTE($W$2, "Optimistic (", ""), "%)", "") / 100))</f>
        <v/>
      </c>
      <c r="Y8" s="175">
        <f>(W8+(4*V8)+X8)/6</f>
        <v/>
      </c>
      <c r="Z8" s="201">
        <f>Y8/2</f>
        <v/>
      </c>
      <c r="AA8" s="179" t="n">
        <v>46164</v>
      </c>
      <c r="AB8" s="179" t="n">
        <v>46170</v>
      </c>
      <c r="AC8" s="179" t="n">
        <v>46171</v>
      </c>
      <c r="AD8" s="179" t="n">
        <v>46175</v>
      </c>
      <c r="AE8" s="200">
        <f>IF($Z8="",0,IF($M8="",0,$M8))</f>
        <v/>
      </c>
      <c r="AF8" s="200">
        <f>IF(OR($Z8="",$N8=""),0,$Z8*5%)</f>
        <v/>
      </c>
      <c r="AG8" s="200">
        <f>IF(OR($Z8="",$O8=""),0,$Z8*10%)</f>
        <v/>
      </c>
      <c r="AH8" s="200">
        <f>IF($Z8="",0,IF(AND($P8="",$Q8=""),($Z8-$AE8-$AF8-$AG8-$AJ8-$AK8-$AL8-$AM8-$AN8),IF($P8="",0,IF($Q8="",($Z8-$AE8-$AF8-$AG8-$AJ8-$AK8-$AL8-$AM8-$AN8),($Z8-$AE8-$AF8-$AG8-$AJ8-$AK8-$AL8-$AM8-$AN8)*40%/(40%+15%)))))</f>
        <v/>
      </c>
      <c r="AI8" s="200">
        <f>IF($Z8="",0,IF(AND($P8="",$Q8=""),0,IF($Q8="",0,IF($P8="",($Z8-$AE8-$AF8-$AG8-$AJ8-$AK8-$AL8-$AM8-$AN8),($Z8-$AE8-$AF8-$AG8-$AJ8-$AK8-$AL8-$AM8-$AN8)*15%/(40%+15%)))))</f>
        <v/>
      </c>
      <c r="AJ8" s="282">
        <f>IF($Z8="",0,$Z8*15%)</f>
        <v/>
      </c>
      <c r="AK8" s="200">
        <f>IF($Z8="",0,IF($R8="",0,$R8))</f>
        <v/>
      </c>
      <c r="AL8" s="200">
        <f>IF(OR($Z8="",$S8=""),0,$Z8*5%)</f>
        <v/>
      </c>
      <c r="AM8" s="200">
        <f>IF(OR($Z8="",$T8=""),0,$Z8*10%)</f>
        <v/>
      </c>
      <c r="AN8" s="200">
        <f>IF($Z8="",0,IF($U8="",0,$U8))</f>
        <v/>
      </c>
      <c r="AO8" s="56">
        <f>SUM(AE8:AM8)</f>
        <v/>
      </c>
      <c r="AP8" t="inlineStr">
        <is>
          <t>Need to understand this</t>
        </is>
      </c>
    </row>
    <row r="9" ht="15" customHeight="1" s="300">
      <c r="A9" s="1" t="n">
        <v>7</v>
      </c>
      <c r="B9" s="288" t="n"/>
      <c r="C9" s="288" t="n"/>
      <c r="D9" s="52" t="inlineStr">
        <is>
          <t>Support for Wide tables from SFTP Source</t>
        </is>
      </c>
      <c r="E9" s="229" t="inlineStr">
        <is>
          <t>https://octopusdtlsupport.atlassian.net/browse/O2-2190</t>
        </is>
      </c>
      <c r="F9" s="1" t="inlineStr">
        <is>
          <t>RnD</t>
        </is>
      </c>
      <c r="G9" s="1" t="n"/>
      <c r="H9" s="24" t="n"/>
      <c r="I9" s="24" t="n"/>
      <c r="J9" s="24" t="n"/>
      <c r="K9" s="24" t="n">
        <v>2</v>
      </c>
      <c r="L9" s="24" t="n"/>
      <c r="M9" s="24" t="n">
        <v>0</v>
      </c>
      <c r="N9" s="24" t="n"/>
      <c r="O9" s="24" t="n"/>
      <c r="P9" s="60">
        <f>10+2</f>
        <v/>
      </c>
      <c r="Q9" s="24" t="n">
        <v>2</v>
      </c>
      <c r="R9" s="24" t="n">
        <v>0</v>
      </c>
      <c r="S9" s="60" t="n">
        <v>2</v>
      </c>
      <c r="T9" s="24" t="n">
        <v>5</v>
      </c>
      <c r="U9" s="24">
        <f>(10+2)/3</f>
        <v/>
      </c>
      <c r="V9" s="45">
        <f>SUM(M9:U9)</f>
        <v/>
      </c>
      <c r="W9" s="170">
        <f>V9 - (V9 * (SUBSTITUTE(SUBSTITUTE($W$2, "Optimistic (", ""), "%)", "") / 100))</f>
        <v/>
      </c>
      <c r="X9" s="170">
        <f>V9 + (W9 * (SUBSTITUTE(SUBSTITUTE($W$2, "Optimistic (", ""), "%)", "") / 100))</f>
        <v/>
      </c>
      <c r="Y9" s="175">
        <f>(W9+(4*V9)+X9)/6</f>
        <v/>
      </c>
      <c r="Z9" s="201">
        <f>Y9/2</f>
        <v/>
      </c>
      <c r="AA9" s="179" t="n">
        <v>46176</v>
      </c>
      <c r="AB9" s="179" t="n">
        <v>46182</v>
      </c>
      <c r="AC9" s="179" t="n">
        <v>46183</v>
      </c>
      <c r="AD9" s="179" t="n">
        <v>46185</v>
      </c>
      <c r="AE9" s="200">
        <f>IF($Z9="",0,IF($M9="",0,$M9))</f>
        <v/>
      </c>
      <c r="AF9" s="200">
        <f>IF(OR($Z9="",$N9=""),0,$Z9*5%)</f>
        <v/>
      </c>
      <c r="AG9" s="200">
        <f>IF(OR($Z9="",$O9=""),0,$Z9*10%)</f>
        <v/>
      </c>
      <c r="AH9" s="200">
        <f>IF($Z9="",0,IF(AND($P9="",$Q9=""),($Z9-$AE9-$AF9-$AG9-$AJ9-$AK9-$AL9-$AM9-$AN9),IF($P9="",0,IF($Q9="",($Z9-$AE9-$AF9-$AG9-$AJ9-$AK9-$AL9-$AM9-$AN9),($Z9-$AE9-$AF9-$AG9-$AJ9-$AK9-$AL9-$AM9-$AN9)*40%/(40%+15%)))))</f>
        <v/>
      </c>
      <c r="AI9" s="200">
        <f>IF($Z9="",0,IF(AND($P9="",$Q9=""),0,IF($Q9="",0,IF($P9="",($Z9-$AE9-$AF9-$AG9-$AJ9-$AK9-$AL9-$AM9-$AN9),($Z9-$AE9-$AF9-$AG9-$AJ9-$AK9-$AL9-$AM9-$AN9)*15%/(40%+15%)))))</f>
        <v/>
      </c>
      <c r="AJ9" s="282">
        <f>IF($Z9="",0,$Z9*15%)</f>
        <v/>
      </c>
      <c r="AK9" s="200">
        <f>IF($Z9="",0,IF($R9="",0,$R9))</f>
        <v/>
      </c>
      <c r="AL9" s="200">
        <f>IF(OR($Z9="",$S9=""),0,$Z9*5%)</f>
        <v/>
      </c>
      <c r="AM9" s="200">
        <f>IF(OR($Z9="",$T9=""),0,$Z9*10%)</f>
        <v/>
      </c>
      <c r="AN9" s="200">
        <f>IF($Z9="",0,IF($U9="",0,$U9))</f>
        <v/>
      </c>
      <c r="AO9" s="56">
        <f>SUM(AE9:AM9)</f>
        <v/>
      </c>
      <c r="AP9" t="inlineStr">
        <is>
          <t>Need to understand this</t>
        </is>
      </c>
    </row>
    <row r="10" ht="15" customHeight="1" s="300">
      <c r="A10" s="1" t="n"/>
      <c r="B10" s="291" t="n"/>
      <c r="C10" s="289" t="n"/>
      <c r="D10" s="52" t="inlineStr">
        <is>
          <t>OmniEdge diagnostics metrics collection</t>
        </is>
      </c>
      <c r="E10" s="257" t="inlineStr">
        <is>
          <t>https://octopusdtlsupport.atlassian.net/browse/O2-2269</t>
        </is>
      </c>
      <c r="F10" s="1" t="inlineStr">
        <is>
          <t>RnD</t>
        </is>
      </c>
      <c r="G10" s="1" t="n"/>
      <c r="H10" s="24" t="n"/>
      <c r="I10" s="24" t="n"/>
      <c r="J10" s="24" t="n"/>
      <c r="K10" s="24" t="n"/>
      <c r="L10" s="24" t="n"/>
      <c r="M10" s="24" t="n">
        <v>2</v>
      </c>
      <c r="N10" s="24" t="n">
        <v>2</v>
      </c>
      <c r="O10" s="24" t="n">
        <v>3</v>
      </c>
      <c r="P10" s="60" t="n">
        <v>2</v>
      </c>
      <c r="Q10" s="24" t="n">
        <v>1</v>
      </c>
      <c r="R10" s="24" t="n">
        <v>0</v>
      </c>
      <c r="S10" s="60" t="n">
        <v>0</v>
      </c>
      <c r="T10" s="24" t="n">
        <v>0</v>
      </c>
      <c r="U10" s="24" t="n">
        <v>3</v>
      </c>
      <c r="V10" s="45" t="n">
        <v>17</v>
      </c>
      <c r="W10" s="170">
        <f>V10 - (V10 * (SUBSTITUTE(SUBSTITUTE($W$2, "Optimistic (", ""), "%)", "") / 100))</f>
        <v/>
      </c>
      <c r="X10" s="170">
        <f>V10 + (W10 * (SUBSTITUTE(SUBSTITUTE($W$2, "Optimistic (", ""), "%)", "") / 100))</f>
        <v/>
      </c>
      <c r="Y10" s="175">
        <f>(W10+(4*V10)+X10)/6</f>
        <v/>
      </c>
      <c r="Z10" s="201">
        <f>Y10/2</f>
        <v/>
      </c>
      <c r="AA10" s="179">
        <f>DATEVALUE("04/08/2026")</f>
        <v/>
      </c>
      <c r="AB10" s="179">
        <f>DATEVALUE("04/17/2026")</f>
        <v/>
      </c>
      <c r="AC10" s="179" t="n">
        <v>46136</v>
      </c>
      <c r="AD10" s="223" t="n">
        <v>46142</v>
      </c>
      <c r="AE10" s="200">
        <f>IF($Z10="",0,IF($M10="",0,$M10))</f>
        <v/>
      </c>
      <c r="AF10" s="200">
        <f>IF(OR($Z10="",$N10=""),0,$Z10*5%)</f>
        <v/>
      </c>
      <c r="AG10" s="200">
        <f>IF(OR($Z10="",$O10=""),0,$Z10*10%)</f>
        <v/>
      </c>
      <c r="AH10" s="200">
        <f>IF($Z10="",0,IF(AND($P10="",$Q10=""),($Z10-$AE10-$AF10-$AG10-$AJ10-$AK10-$AL10-$AM10-$AN10),IF($P10="",0,IF($Q10="",($Z10-$AE10-$AF10-$AG10-$AJ10-$AK10-$AL10-$AM10-$AN10),($Z10-$AE10-$AF10-$AG10-$AJ10-$AK10-$AL10-$AM10-$AN10)*40%/(40%+15%)))))</f>
        <v/>
      </c>
      <c r="AI10" s="200">
        <f>IF($Z10="",0,IF(AND($P10="",$Q10=""),0,IF($Q10="",0,IF($P10="",($Z10-$AE10-$AF10-$AG10-$AJ10-$AK10-$AL10-$AM10-$AN10),($Z10-$AE10-$AF10-$AG10-$AJ10-$AK10-$AL10-$AM10-$AN10)*15%/(40%+15%)))))</f>
        <v/>
      </c>
      <c r="AJ10" s="282">
        <f>IF($Z10="",0,$Z10*15%)</f>
        <v/>
      </c>
      <c r="AK10" s="200">
        <f>IF($Z10="",0,IF($R10="",0,$R10))</f>
        <v/>
      </c>
      <c r="AL10" s="200">
        <f>IF(OR($Z10="",$S10=""),0,$Z10*5%)</f>
        <v/>
      </c>
      <c r="AM10" s="200">
        <f>IF(OR($Z10="",$T10=""),0,$Z10*10%)</f>
        <v/>
      </c>
      <c r="AN10" s="200">
        <f>IF($Z10="",0,IF($U10="",0,$U10))</f>
        <v/>
      </c>
      <c r="AO10" s="56">
        <f>SUM(AE10:AM10)</f>
        <v/>
      </c>
    </row>
    <row r="11" ht="15" customHeight="1" s="300">
      <c r="A11" s="1" t="n">
        <v>8</v>
      </c>
      <c r="B11" s="291" t="inlineStr">
        <is>
          <t>Enrichment</t>
        </is>
      </c>
      <c r="C11" s="289" t="inlineStr">
        <is>
          <t>APX</t>
        </is>
      </c>
      <c r="D11" s="52" t="inlineStr">
        <is>
          <t>APX - WhatIf Pump</t>
        </is>
      </c>
      <c r="E11" s="52" t="n"/>
      <c r="F11" s="1" t="inlineStr">
        <is>
          <t>Process Team</t>
        </is>
      </c>
      <c r="G11" s="1" t="n"/>
      <c r="H11" s="24" t="n">
        <v>1</v>
      </c>
      <c r="I11" s="24" t="n"/>
      <c r="J11" s="24" t="n"/>
      <c r="K11" s="24" t="n">
        <v>1</v>
      </c>
      <c r="L11" s="24" t="inlineStr">
        <is>
          <t>Plan</t>
        </is>
      </c>
      <c r="M11" s="24" t="n">
        <v>0</v>
      </c>
      <c r="N11" s="24" t="n"/>
      <c r="O11" s="24" t="n"/>
      <c r="P11" s="24" t="n"/>
      <c r="Q11" s="24" t="n">
        <v>1</v>
      </c>
      <c r="R11" s="24">
        <f>4+4</f>
        <v/>
      </c>
      <c r="S11" s="24" t="n"/>
      <c r="T11" s="24" t="n">
        <v>1</v>
      </c>
      <c r="U11" s="24" t="n">
        <v>1</v>
      </c>
      <c r="V11" s="45">
        <f>SUM(M11:U11)</f>
        <v/>
      </c>
      <c r="W11" s="170">
        <f>V11 - (V11 * (SUBSTITUTE(SUBSTITUTE($W$2, "Optimistic (", ""), "%)", "") / 100))</f>
        <v/>
      </c>
      <c r="X11" s="170">
        <f>V11 + (W11 * (SUBSTITUTE(SUBSTITUTE($W$2, "Optimistic (", ""), "%)", "") / 100))</f>
        <v/>
      </c>
      <c r="Y11" s="175">
        <f>(W11+(4*V11)+X11)/6</f>
        <v/>
      </c>
      <c r="Z11" s="201">
        <f>Y11/2</f>
        <v/>
      </c>
      <c r="AA11" s="179" t="n"/>
      <c r="AB11" s="179" t="n"/>
      <c r="AC11" s="179" t="n"/>
      <c r="AD11" s="179" t="n"/>
      <c r="AE11" s="200">
        <f>IF($Z11="",0,IF($M11="",0,$M11))</f>
        <v/>
      </c>
      <c r="AF11" s="200">
        <f>IF(OR($Z11="",$N11=""),0,$Z11*5%)</f>
        <v/>
      </c>
      <c r="AG11" s="200">
        <f>IF(OR($Z11="",$O11=""),0,$Z11*10%)</f>
        <v/>
      </c>
      <c r="AH11" s="200">
        <f>IF($Z11="",0,IF(AND($P11="",$Q11=""),($Z11-$AE11-$AF11-$AG11-$AJ11-$AK11-$AL11-$AM11-$AN11),IF($P11="",0,IF($Q11="",($Z11-$AE11-$AF11-$AG11-$AJ11-$AK11-$AL11-$AM11-$AN11),($Z11-$AE11-$AF11-$AG11-$AJ11-$AK11-$AL11-$AM11-$AN11)*40%/(40%+15%)))))</f>
        <v/>
      </c>
      <c r="AI11" s="200">
        <f>IF($Z11="",0,IF(AND($P11="",$Q11=""),0,IF($Q11="",0,IF($P11="",($Z11-$AE11-$AF11-$AG11-$AJ11-$AK11-$AL11-$AM11-$AN11),($Z11-$AE11-$AF11-$AG11-$AJ11-$AK11-$AL11-$AM11-$AN11)*15%/(40%+15%)))))</f>
        <v/>
      </c>
      <c r="AJ11" s="282">
        <f>IF($Z11="",0,$Z11*15%)</f>
        <v/>
      </c>
      <c r="AK11" s="200">
        <f>IF($Z11="",0,IF($R11="",0,$R11))</f>
        <v/>
      </c>
      <c r="AL11" s="200">
        <f>IF(OR($Z11="",$S11=""),0,$Z11*5%)</f>
        <v/>
      </c>
      <c r="AM11" s="200">
        <f>IF(OR($Z11="",$T11=""),0,$Z11*10%)</f>
        <v/>
      </c>
      <c r="AN11" s="200">
        <f>IF($Z11="",0,IF($U11="",0,$U11))</f>
        <v/>
      </c>
      <c r="AO11" s="56">
        <f>SUM(AE11:AM11)</f>
        <v/>
      </c>
    </row>
    <row r="12" ht="15" customHeight="1" s="300">
      <c r="A12" s="1" t="n">
        <v>9</v>
      </c>
      <c r="B12" s="290" t="n"/>
      <c r="C12" s="290" t="n"/>
      <c r="D12" s="52" t="inlineStr">
        <is>
          <t>APX - WhatIf Compressor</t>
        </is>
      </c>
      <c r="E12" s="52" t="n"/>
      <c r="F12" s="1" t="inlineStr">
        <is>
          <t>Process Team</t>
        </is>
      </c>
      <c r="G12" s="1" t="n"/>
      <c r="H12" s="24" t="n">
        <v>1</v>
      </c>
      <c r="I12" s="24" t="n"/>
      <c r="J12" s="24" t="n"/>
      <c r="K12" s="24" t="n">
        <v>1</v>
      </c>
      <c r="L12" s="24" t="inlineStr">
        <is>
          <t>Plan</t>
        </is>
      </c>
      <c r="M12" s="24" t="n">
        <v>0</v>
      </c>
      <c r="N12" s="24" t="n"/>
      <c r="O12" s="24" t="n"/>
      <c r="P12" s="24" t="n"/>
      <c r="Q12" s="24" t="n">
        <v>1</v>
      </c>
      <c r="R12" s="24" t="n">
        <v>3</v>
      </c>
      <c r="S12" s="24" t="n"/>
      <c r="T12" s="24" t="n">
        <v>1</v>
      </c>
      <c r="U12" s="24" t="n">
        <v>1</v>
      </c>
      <c r="V12" s="45">
        <f>SUM(M12:U12)</f>
        <v/>
      </c>
      <c r="W12" s="170">
        <f>V12 - (V12 * (SUBSTITUTE(SUBSTITUTE($W$2, "Optimistic (", ""), "%)", "") / 100))</f>
        <v/>
      </c>
      <c r="X12" s="170">
        <f>V12 + (W12 * (SUBSTITUTE(SUBSTITUTE($W$2, "Optimistic (", ""), "%)", "") / 100))</f>
        <v/>
      </c>
      <c r="Y12" s="175">
        <f>(W12+(4*V12)+X12)/6</f>
        <v/>
      </c>
      <c r="Z12" s="201">
        <f>Y12/2</f>
        <v/>
      </c>
      <c r="AA12" s="179" t="n"/>
      <c r="AB12" s="179" t="n"/>
      <c r="AC12" s="179" t="n"/>
      <c r="AD12" s="179" t="n"/>
      <c r="AE12" s="200">
        <f>IF($Z12="",0,IF($M12="",0,$M12))</f>
        <v/>
      </c>
      <c r="AF12" s="200">
        <f>IF(OR($Z12="",$N12=""),0,$Z12*5%)</f>
        <v/>
      </c>
      <c r="AG12" s="200">
        <f>IF(OR($Z12="",$O12=""),0,$Z12*10%)</f>
        <v/>
      </c>
      <c r="AH12" s="200">
        <f>IF($Z12="",0,IF(AND($P12="",$Q12=""),($Z12-$AE12-$AF12-$AG12-$AJ12-$AK12-$AL12-$AM12-$AN12),IF($P12="",0,IF($Q12="",($Z12-$AE12-$AF12-$AG12-$AJ12-$AK12-$AL12-$AM12-$AN12),($Z12-$AE12-$AF12-$AG12-$AJ12-$AK12-$AL12-$AM12-$AN12)*40%/(40%+15%)))))</f>
        <v/>
      </c>
      <c r="AI12" s="200">
        <f>IF($Z12="",0,IF(AND($P12="",$Q12=""),0,IF($Q12="",0,IF($P12="",($Z12-$AE12-$AF12-$AG12-$AJ12-$AK12-$AL12-$AM12-$AN12),($Z12-$AE12-$AF12-$AG12-$AJ12-$AK12-$AL12-$AM12-$AN12)*15%/(40%+15%)))))</f>
        <v/>
      </c>
      <c r="AJ12" s="282">
        <f>IF($Z12="",0,$Z12*15%)</f>
        <v/>
      </c>
      <c r="AK12" s="200">
        <f>IF($Z12="",0,IF($R12="",0,$R12))</f>
        <v/>
      </c>
      <c r="AL12" s="200">
        <f>IF(OR($Z12="",$S12=""),0,$Z12*5%)</f>
        <v/>
      </c>
      <c r="AM12" s="200">
        <f>IF(OR($Z12="",$T12=""),0,$Z12*10%)</f>
        <v/>
      </c>
      <c r="AN12" s="200">
        <f>IF($Z12="",0,IF($U12="",0,$U12))</f>
        <v/>
      </c>
      <c r="AO12" s="56">
        <f>SUM(AE12:AM12)</f>
        <v/>
      </c>
    </row>
    <row r="13" ht="15" customHeight="1" s="300">
      <c r="A13" s="1" t="n">
        <v>10</v>
      </c>
      <c r="B13" s="290" t="n"/>
      <c r="C13" s="290" t="n"/>
      <c r="D13" s="52" t="inlineStr">
        <is>
          <t>APX - WhatIf Condenser</t>
        </is>
      </c>
      <c r="E13" s="52" t="n"/>
      <c r="F13" s="1" t="inlineStr">
        <is>
          <t>Process Team</t>
        </is>
      </c>
      <c r="G13" s="1" t="n"/>
      <c r="H13" s="24" t="n">
        <v>1</v>
      </c>
      <c r="I13" s="24" t="n"/>
      <c r="J13" s="24" t="n"/>
      <c r="K13" s="24" t="n">
        <v>1</v>
      </c>
      <c r="L13" s="24" t="inlineStr">
        <is>
          <t>Plan</t>
        </is>
      </c>
      <c r="M13" s="24" t="n">
        <v>0</v>
      </c>
      <c r="N13" s="24" t="n"/>
      <c r="O13" s="24" t="n"/>
      <c r="P13" s="24" t="n"/>
      <c r="Q13" s="24" t="n">
        <v>1</v>
      </c>
      <c r="R13" s="24" t="n">
        <v>5</v>
      </c>
      <c r="S13" s="24" t="n"/>
      <c r="T13" s="24" t="n">
        <v>1</v>
      </c>
      <c r="U13" s="24" t="n">
        <v>1</v>
      </c>
      <c r="V13" s="45">
        <f>SUM(M13:U13)</f>
        <v/>
      </c>
      <c r="W13" s="170">
        <f>V13 - (V13 * (SUBSTITUTE(SUBSTITUTE($W$2, "Optimistic (", ""), "%)", "") / 100))</f>
        <v/>
      </c>
      <c r="X13" s="170">
        <f>V13 + (W13 * (SUBSTITUTE(SUBSTITUTE($W$2, "Optimistic (", ""), "%)", "") / 100))</f>
        <v/>
      </c>
      <c r="Y13" s="175">
        <f>(W13+(4*V13)+X13)/6</f>
        <v/>
      </c>
      <c r="Z13" s="201">
        <f>Y13/2</f>
        <v/>
      </c>
      <c r="AA13" s="179" t="n"/>
      <c r="AB13" s="179" t="n"/>
      <c r="AC13" s="179" t="n"/>
      <c r="AD13" s="179" t="n"/>
      <c r="AE13" s="200">
        <f>IF($Z13="",0,IF($M13="",0,$M13))</f>
        <v/>
      </c>
      <c r="AF13" s="200">
        <f>IF(OR($Z13="",$N13=""),0,$Z13*5%)</f>
        <v/>
      </c>
      <c r="AG13" s="200">
        <f>IF(OR($Z13="",$O13=""),0,$Z13*10%)</f>
        <v/>
      </c>
      <c r="AH13" s="200">
        <f>IF($Z13="",0,IF(AND($P13="",$Q13=""),($Z13-$AE13-$AF13-$AG13-$AJ13-$AK13-$AL13-$AM13-$AN13),IF($P13="",0,IF($Q13="",($Z13-$AE13-$AF13-$AG13-$AJ13-$AK13-$AL13-$AM13-$AN13),($Z13-$AE13-$AF13-$AG13-$AJ13-$AK13-$AL13-$AM13-$AN13)*40%/(40%+15%)))))</f>
        <v/>
      </c>
      <c r="AI13" s="200">
        <f>IF($Z13="",0,IF(AND($P13="",$Q13=""),0,IF($Q13="",0,IF($P13="",($Z13-$AE13-$AF13-$AG13-$AJ13-$AK13-$AL13-$AM13-$AN13),($Z13-$AE13-$AF13-$AG13-$AJ13-$AK13-$AL13-$AM13-$AN13)*15%/(40%+15%)))))</f>
        <v/>
      </c>
      <c r="AJ13" s="282">
        <f>IF($Z13="",0,$Z13*15%)</f>
        <v/>
      </c>
      <c r="AK13" s="200">
        <f>IF($Z13="",0,IF($R13="",0,$R13))</f>
        <v/>
      </c>
      <c r="AL13" s="200">
        <f>IF(OR($Z13="",$S13=""),0,$Z13*5%)</f>
        <v/>
      </c>
      <c r="AM13" s="200">
        <f>IF(OR($Z13="",$T13=""),0,$Z13*10%)</f>
        <v/>
      </c>
      <c r="AN13" s="200">
        <f>IF($Z13="",0,IF($U13="",0,$U13))</f>
        <v/>
      </c>
      <c r="AO13" s="56">
        <f>SUM(AE13:AM13)</f>
        <v/>
      </c>
    </row>
    <row r="14" ht="15" customHeight="1" s="300">
      <c r="A14" s="1" t="n">
        <v>11</v>
      </c>
      <c r="B14" s="290" t="n"/>
      <c r="C14" s="290" t="n"/>
      <c r="D14" s="52" t="inlineStr">
        <is>
          <t>APX - WhatIf Heat Exchanger</t>
        </is>
      </c>
      <c r="E14" s="52" t="n"/>
      <c r="F14" s="1" t="inlineStr">
        <is>
          <t>Process Team</t>
        </is>
      </c>
      <c r="G14" s="1" t="n"/>
      <c r="H14" s="24" t="n">
        <v>1</v>
      </c>
      <c r="I14" s="24" t="n"/>
      <c r="J14" s="24" t="n"/>
      <c r="K14" s="24" t="n">
        <v>1</v>
      </c>
      <c r="L14" s="24" t="inlineStr">
        <is>
          <t>Plan</t>
        </is>
      </c>
      <c r="M14" s="24" t="n">
        <v>0</v>
      </c>
      <c r="N14" s="24" t="n"/>
      <c r="O14" s="24" t="n"/>
      <c r="P14" s="24" t="n"/>
      <c r="Q14" s="24" t="n">
        <v>1</v>
      </c>
      <c r="R14" s="24" t="n">
        <v>3</v>
      </c>
      <c r="S14" s="24" t="n"/>
      <c r="T14" s="24" t="n">
        <v>1</v>
      </c>
      <c r="U14" s="24" t="n">
        <v>1</v>
      </c>
      <c r="V14" s="45">
        <f>SUM(M14:U14)</f>
        <v/>
      </c>
      <c r="W14" s="170">
        <f>V14 - (V14 * (SUBSTITUTE(SUBSTITUTE($W$2, "Optimistic (", ""), "%)", "") / 100))</f>
        <v/>
      </c>
      <c r="X14" s="170">
        <f>V14 + (W14 * (SUBSTITUTE(SUBSTITUTE($W$2, "Optimistic (", ""), "%)", "") / 100))</f>
        <v/>
      </c>
      <c r="Y14" s="175">
        <f>(W14+(4*V14)+X14)/6</f>
        <v/>
      </c>
      <c r="Z14" s="201">
        <f>Y14/2</f>
        <v/>
      </c>
      <c r="AA14" s="179" t="n"/>
      <c r="AB14" s="179" t="n"/>
      <c r="AC14" s="179" t="n"/>
      <c r="AD14" s="179" t="n"/>
      <c r="AE14" s="200">
        <f>IF($Z14="",0,IF($M14="",0,$M14))</f>
        <v/>
      </c>
      <c r="AF14" s="200">
        <f>IF(OR($Z14="",$N14=""),0,$Z14*5%)</f>
        <v/>
      </c>
      <c r="AG14" s="200">
        <f>IF(OR($Z14="",$O14=""),0,$Z14*10%)</f>
        <v/>
      </c>
      <c r="AH14" s="200">
        <f>IF($Z14="",0,IF(AND($P14="",$Q14=""),($Z14-$AE14-$AF14-$AG14-$AJ14-$AK14-$AL14-$AM14-$AN14),IF($P14="",0,IF($Q14="",($Z14-$AE14-$AF14-$AG14-$AJ14-$AK14-$AL14-$AM14-$AN14),($Z14-$AE14-$AF14-$AG14-$AJ14-$AK14-$AL14-$AM14-$AN14)*40%/(40%+15%)))))</f>
        <v/>
      </c>
      <c r="AI14" s="200">
        <f>IF($Z14="",0,IF(AND($P14="",$Q14=""),0,IF($Q14="",0,IF($P14="",($Z14-$AE14-$AF14-$AG14-$AJ14-$AK14-$AL14-$AM14-$AN14),($Z14-$AE14-$AF14-$AG14-$AJ14-$AK14-$AL14-$AM14-$AN14)*15%/(40%+15%)))))</f>
        <v/>
      </c>
      <c r="AJ14" s="282">
        <f>IF($Z14="",0,$Z14*15%)</f>
        <v/>
      </c>
      <c r="AK14" s="200">
        <f>IF($Z14="",0,IF($R14="",0,$R14))</f>
        <v/>
      </c>
      <c r="AL14" s="200">
        <f>IF(OR($Z14="",$S14=""),0,$Z14*5%)</f>
        <v/>
      </c>
      <c r="AM14" s="200">
        <f>IF(OR($Z14="",$T14=""),0,$Z14*10%)</f>
        <v/>
      </c>
      <c r="AN14" s="200">
        <f>IF($Z14="",0,IF($U14="",0,$U14))</f>
        <v/>
      </c>
      <c r="AO14" s="56">
        <f>SUM(AE14:AM14)</f>
        <v/>
      </c>
    </row>
    <row r="15" ht="15" customHeight="1" s="300">
      <c r="A15" s="1" t="n">
        <v>12</v>
      </c>
      <c r="B15" s="290" t="n"/>
      <c r="C15" s="290" t="n"/>
      <c r="D15" s="52" t="inlineStr">
        <is>
          <t>APX - WhatIf Boiler</t>
        </is>
      </c>
      <c r="E15" s="52" t="n"/>
      <c r="F15" s="1" t="inlineStr">
        <is>
          <t>Process Team</t>
        </is>
      </c>
      <c r="G15" s="1" t="n"/>
      <c r="H15" s="24" t="n">
        <v>1</v>
      </c>
      <c r="I15" s="24" t="n"/>
      <c r="J15" s="24" t="n"/>
      <c r="K15" s="24" t="n">
        <v>1</v>
      </c>
      <c r="L15" s="24" t="inlineStr">
        <is>
          <t>Plan</t>
        </is>
      </c>
      <c r="M15" s="24" t="n">
        <v>0</v>
      </c>
      <c r="N15" s="24" t="n"/>
      <c r="O15" s="24" t="n"/>
      <c r="P15" s="24" t="n"/>
      <c r="Q15" s="24" t="n">
        <v>1</v>
      </c>
      <c r="R15" s="24" t="n">
        <v>0</v>
      </c>
      <c r="S15" s="24" t="n"/>
      <c r="T15" s="24" t="n">
        <v>1</v>
      </c>
      <c r="U15" s="24" t="n">
        <v>1</v>
      </c>
      <c r="V15" s="45">
        <f>SUM(M15:U15)</f>
        <v/>
      </c>
      <c r="W15" s="170">
        <f>V15 - (V15 * (SUBSTITUTE(SUBSTITUTE($W$2, "Optimistic (", ""), "%)", "") / 100))</f>
        <v/>
      </c>
      <c r="X15" s="170">
        <f>V15 + (W15 * (SUBSTITUTE(SUBSTITUTE($W$2, "Optimistic (", ""), "%)", "") / 100))</f>
        <v/>
      </c>
      <c r="Y15" s="175">
        <f>(W15+(4*V15)+X15)/6</f>
        <v/>
      </c>
      <c r="Z15" s="201">
        <f>Y15/2</f>
        <v/>
      </c>
      <c r="AA15" s="179" t="n"/>
      <c r="AB15" s="179" t="n"/>
      <c r="AC15" s="179" t="n"/>
      <c r="AD15" s="179" t="n"/>
      <c r="AE15" s="200">
        <f>IF($Z15="",0,IF($M15="",0,$M15))</f>
        <v/>
      </c>
      <c r="AF15" s="200">
        <f>IF(OR($Z15="",$N15=""),0,$Z15*5%)</f>
        <v/>
      </c>
      <c r="AG15" s="200">
        <f>IF(OR($Z15="",$O15=""),0,$Z15*10%)</f>
        <v/>
      </c>
      <c r="AH15" s="200">
        <f>IF($Z15="",0,IF(AND($P15="",$Q15=""),($Z15-$AE15-$AF15-$AG15-$AJ15-$AK15-$AL15-$AM15-$AN15),IF($P15="",0,IF($Q15="",($Z15-$AE15-$AF15-$AG15-$AJ15-$AK15-$AL15-$AM15-$AN15),($Z15-$AE15-$AF15-$AG15-$AJ15-$AK15-$AL15-$AM15-$AN15)*40%/(40%+15%)))))</f>
        <v/>
      </c>
      <c r="AI15" s="200">
        <f>IF($Z15="",0,IF(AND($P15="",$Q15=""),0,IF($Q15="",0,IF($P15="",($Z15-$AE15-$AF15-$AG15-$AJ15-$AK15-$AL15-$AM15-$AN15),($Z15-$AE15-$AF15-$AG15-$AJ15-$AK15-$AL15-$AM15-$AN15)*15%/(40%+15%)))))</f>
        <v/>
      </c>
      <c r="AJ15" s="282">
        <f>IF($Z15="",0,$Z15*15%)</f>
        <v/>
      </c>
      <c r="AK15" s="200">
        <f>IF($Z15="",0,IF($R15="",0,$R15))</f>
        <v/>
      </c>
      <c r="AL15" s="200">
        <f>IF(OR($Z15="",$S15=""),0,$Z15*5%)</f>
        <v/>
      </c>
      <c r="AM15" s="200">
        <f>IF(OR($Z15="",$T15=""),0,$Z15*10%)</f>
        <v/>
      </c>
      <c r="AN15" s="200">
        <f>IF($Z15="",0,IF($U15="",0,$U15))</f>
        <v/>
      </c>
      <c r="AO15" s="56">
        <f>SUM(AE15:AM15)</f>
        <v/>
      </c>
    </row>
    <row r="16" ht="15" customHeight="1" s="300">
      <c r="A16" s="1" t="n">
        <v>13</v>
      </c>
      <c r="B16" s="290" t="n"/>
      <c r="C16" s="290" t="n"/>
      <c r="D16" s="52" t="inlineStr">
        <is>
          <t>APX - Health Pump</t>
        </is>
      </c>
      <c r="E16" s="52" t="n"/>
      <c r="F16" s="1" t="inlineStr">
        <is>
          <t>Process Team</t>
        </is>
      </c>
      <c r="G16" s="1" t="n"/>
      <c r="H16" s="24" t="n">
        <v>1</v>
      </c>
      <c r="I16" s="24" t="n"/>
      <c r="J16" s="24" t="n"/>
      <c r="K16" s="24" t="n">
        <v>1</v>
      </c>
      <c r="L16" s="24" t="inlineStr">
        <is>
          <t>Plan</t>
        </is>
      </c>
      <c r="M16" s="24" t="n">
        <v>0</v>
      </c>
      <c r="N16" s="24" t="n"/>
      <c r="O16" s="24" t="n"/>
      <c r="P16" s="24" t="n"/>
      <c r="Q16" s="24" t="n">
        <v>1</v>
      </c>
      <c r="R16" s="24" t="n">
        <v>4</v>
      </c>
      <c r="S16" s="24" t="n"/>
      <c r="T16" s="24" t="n">
        <v>1</v>
      </c>
      <c r="U16" s="24" t="n">
        <v>1</v>
      </c>
      <c r="V16" s="45">
        <f>SUM(M16:U16)</f>
        <v/>
      </c>
      <c r="W16" s="170">
        <f>V16 - (V16 * (SUBSTITUTE(SUBSTITUTE($W$2, "Optimistic (", ""), "%)", "") / 100))</f>
        <v/>
      </c>
      <c r="X16" s="170">
        <f>V16 + (W16 * (SUBSTITUTE(SUBSTITUTE($W$2, "Optimistic (", ""), "%)", "") / 100))</f>
        <v/>
      </c>
      <c r="Y16" s="175">
        <f>(W16+(4*V16)+X16)/6</f>
        <v/>
      </c>
      <c r="Z16" s="201">
        <f>Y16/2</f>
        <v/>
      </c>
      <c r="AA16" s="179" t="n"/>
      <c r="AB16" s="179" t="n"/>
      <c r="AC16" s="179" t="n"/>
      <c r="AD16" s="179" t="n"/>
      <c r="AE16" s="200">
        <f>IF($Z16="",0,IF($M16="",0,$M16))</f>
        <v/>
      </c>
      <c r="AF16" s="200">
        <f>IF(OR($Z16="",$N16=""),0,$Z16*5%)</f>
        <v/>
      </c>
      <c r="AG16" s="200">
        <f>IF(OR($Z16="",$O16=""),0,$Z16*10%)</f>
        <v/>
      </c>
      <c r="AH16" s="200">
        <f>IF($Z16="",0,IF(AND($P16="",$Q16=""),($Z16-$AE16-$AF16-$AG16-$AJ16-$AK16-$AL16-$AM16-$AN16),IF($P16="",0,IF($Q16="",($Z16-$AE16-$AF16-$AG16-$AJ16-$AK16-$AL16-$AM16-$AN16),($Z16-$AE16-$AF16-$AG16-$AJ16-$AK16-$AL16-$AM16-$AN16)*40%/(40%+15%)))))</f>
        <v/>
      </c>
      <c r="AI16" s="200">
        <f>IF($Z16="",0,IF(AND($P16="",$Q16=""),0,IF($Q16="",0,IF($P16="",($Z16-$AE16-$AF16-$AG16-$AJ16-$AK16-$AL16-$AM16-$AN16),($Z16-$AE16-$AF16-$AG16-$AJ16-$AK16-$AL16-$AM16-$AN16)*15%/(40%+15%)))))</f>
        <v/>
      </c>
      <c r="AJ16" s="282">
        <f>IF($Z16="",0,$Z16*15%)</f>
        <v/>
      </c>
      <c r="AK16" s="200">
        <f>IF($Z16="",0,IF($R16="",0,$R16))</f>
        <v/>
      </c>
      <c r="AL16" s="200">
        <f>IF(OR($Z16="",$S16=""),0,$Z16*5%)</f>
        <v/>
      </c>
      <c r="AM16" s="200">
        <f>IF(OR($Z16="",$T16=""),0,$Z16*10%)</f>
        <v/>
      </c>
      <c r="AN16" s="200">
        <f>IF($Z16="",0,IF($U16="",0,$U16))</f>
        <v/>
      </c>
      <c r="AO16" s="56">
        <f>SUM(AE16:AM16)</f>
        <v/>
      </c>
    </row>
    <row r="17" ht="15" customHeight="1" s="300">
      <c r="A17" s="1" t="n">
        <v>14</v>
      </c>
      <c r="B17" s="290" t="n"/>
      <c r="C17" s="290" t="n"/>
      <c r="D17" s="52" t="inlineStr">
        <is>
          <t>APX - Health Compressor</t>
        </is>
      </c>
      <c r="E17" s="52" t="n"/>
      <c r="F17" s="1" t="inlineStr">
        <is>
          <t>Process Team</t>
        </is>
      </c>
      <c r="G17" s="1" t="n"/>
      <c r="H17" s="24" t="n">
        <v>1</v>
      </c>
      <c r="I17" s="24" t="n"/>
      <c r="J17" s="24" t="n"/>
      <c r="K17" s="24" t="n">
        <v>1</v>
      </c>
      <c r="L17" s="24" t="inlineStr">
        <is>
          <t>Plan</t>
        </is>
      </c>
      <c r="M17" s="24" t="n">
        <v>0</v>
      </c>
      <c r="N17" s="24" t="n"/>
      <c r="O17" s="24" t="n"/>
      <c r="P17" s="24" t="n"/>
      <c r="Q17" s="24" t="n">
        <v>1</v>
      </c>
      <c r="R17" s="24" t="n">
        <v>3</v>
      </c>
      <c r="S17" s="24" t="n"/>
      <c r="T17" s="24" t="n">
        <v>1</v>
      </c>
      <c r="U17" s="24" t="n">
        <v>1</v>
      </c>
      <c r="V17" s="45">
        <f>SUM(M17:U17)</f>
        <v/>
      </c>
      <c r="W17" s="170">
        <f>V17 - (V17 * (SUBSTITUTE(SUBSTITUTE($W$2, "Optimistic (", ""), "%)", "") / 100))</f>
        <v/>
      </c>
      <c r="X17" s="170">
        <f>V17 + (W17 * (SUBSTITUTE(SUBSTITUTE($W$2, "Optimistic (", ""), "%)", "") / 100))</f>
        <v/>
      </c>
      <c r="Y17" s="175">
        <f>(W17+(4*V17)+X17)/6</f>
        <v/>
      </c>
      <c r="Z17" s="201">
        <f>Y17/2</f>
        <v/>
      </c>
      <c r="AA17" s="179" t="n"/>
      <c r="AB17" s="179" t="n"/>
      <c r="AC17" s="179" t="n"/>
      <c r="AD17" s="179" t="n"/>
      <c r="AE17" s="200">
        <f>IF($Z17="",0,IF($M17="",0,$M17))</f>
        <v/>
      </c>
      <c r="AF17" s="200">
        <f>IF(OR($Z17="",$N17=""),0,$Z17*5%)</f>
        <v/>
      </c>
      <c r="AG17" s="200">
        <f>IF(OR($Z17="",$O17=""),0,$Z17*10%)</f>
        <v/>
      </c>
      <c r="AH17" s="200">
        <f>IF($Z17="",0,IF(AND($P17="",$Q17=""),($Z17-$AE17-$AF17-$AG17-$AJ17-$AK17-$AL17-$AM17-$AN17),IF($P17="",0,IF($Q17="",($Z17-$AE17-$AF17-$AG17-$AJ17-$AK17-$AL17-$AM17-$AN17),($Z17-$AE17-$AF17-$AG17-$AJ17-$AK17-$AL17-$AM17-$AN17)*40%/(40%+15%)))))</f>
        <v/>
      </c>
      <c r="AI17" s="200">
        <f>IF($Z17="",0,IF(AND($P17="",$Q17=""),0,IF($Q17="",0,IF($P17="",($Z17-$AE17-$AF17-$AG17-$AJ17-$AK17-$AL17-$AM17-$AN17),($Z17-$AE17-$AF17-$AG17-$AJ17-$AK17-$AL17-$AM17-$AN17)*15%/(40%+15%)))))</f>
        <v/>
      </c>
      <c r="AJ17" s="282">
        <f>IF($Z17="",0,$Z17*15%)</f>
        <v/>
      </c>
      <c r="AK17" s="200">
        <f>IF($Z17="",0,IF($R17="",0,$R17))</f>
        <v/>
      </c>
      <c r="AL17" s="200">
        <f>IF(OR($Z17="",$S17=""),0,$Z17*5%)</f>
        <v/>
      </c>
      <c r="AM17" s="200">
        <f>IF(OR($Z17="",$T17=""),0,$Z17*10%)</f>
        <v/>
      </c>
      <c r="AN17" s="200">
        <f>IF($Z17="",0,IF($U17="",0,$U17))</f>
        <v/>
      </c>
      <c r="AO17" s="56">
        <f>SUM(AE17:AM17)</f>
        <v/>
      </c>
    </row>
    <row r="18" ht="15" customHeight="1" s="300">
      <c r="A18" s="1" t="n">
        <v>15</v>
      </c>
      <c r="B18" s="290" t="n"/>
      <c r="C18" s="290" t="n"/>
      <c r="D18" s="52" t="inlineStr">
        <is>
          <t>APX - Health Motor</t>
        </is>
      </c>
      <c r="E18" s="52" t="n"/>
      <c r="F18" s="1" t="inlineStr">
        <is>
          <t>Process Team</t>
        </is>
      </c>
      <c r="G18" s="1" t="n"/>
      <c r="H18" s="24" t="n">
        <v>1</v>
      </c>
      <c r="I18" s="24" t="n"/>
      <c r="J18" s="24" t="n"/>
      <c r="K18" s="24" t="n">
        <v>1</v>
      </c>
      <c r="L18" s="24" t="inlineStr">
        <is>
          <t>Plan</t>
        </is>
      </c>
      <c r="M18" s="24" t="n">
        <v>0</v>
      </c>
      <c r="N18" s="24" t="n"/>
      <c r="O18" s="24" t="n"/>
      <c r="P18" s="24" t="n"/>
      <c r="Q18" s="24" t="n">
        <v>1</v>
      </c>
      <c r="R18" s="24" t="n">
        <v>4</v>
      </c>
      <c r="S18" s="24" t="n"/>
      <c r="T18" s="24" t="n">
        <v>1</v>
      </c>
      <c r="U18" s="24" t="n">
        <v>1</v>
      </c>
      <c r="V18" s="45">
        <f>SUM(M18:U18)</f>
        <v/>
      </c>
      <c r="W18" s="170">
        <f>V18 - (V18 * (SUBSTITUTE(SUBSTITUTE($W$2, "Optimistic (", ""), "%)", "") / 100))</f>
        <v/>
      </c>
      <c r="X18" s="170">
        <f>V18 + (W18 * (SUBSTITUTE(SUBSTITUTE($W$2, "Optimistic (", ""), "%)", "") / 100))</f>
        <v/>
      </c>
      <c r="Y18" s="175">
        <f>(W18+(4*V18)+X18)/6</f>
        <v/>
      </c>
      <c r="Z18" s="201">
        <f>Y18/2</f>
        <v/>
      </c>
      <c r="AA18" s="179" t="n"/>
      <c r="AB18" s="179" t="n"/>
      <c r="AC18" s="179" t="n"/>
      <c r="AD18" s="179" t="n"/>
      <c r="AE18" s="200">
        <f>IF($Z18="",0,IF($M18="",0,$M18))</f>
        <v/>
      </c>
      <c r="AF18" s="200">
        <f>IF(OR($Z18="",$N18=""),0,$Z18*5%)</f>
        <v/>
      </c>
      <c r="AG18" s="200">
        <f>IF(OR($Z18="",$O18=""),0,$Z18*10%)</f>
        <v/>
      </c>
      <c r="AH18" s="200">
        <f>IF($Z18="",0,IF(AND($P18="",$Q18=""),($Z18-$AE18-$AF18-$AG18-$AJ18-$AK18-$AL18-$AM18-$AN18),IF($P18="",0,IF($Q18="",($Z18-$AE18-$AF18-$AG18-$AJ18-$AK18-$AL18-$AM18-$AN18),($Z18-$AE18-$AF18-$AG18-$AJ18-$AK18-$AL18-$AM18-$AN18)*40%/(40%+15%)))))</f>
        <v/>
      </c>
      <c r="AI18" s="200">
        <f>IF($Z18="",0,IF(AND($P18="",$Q18=""),0,IF($Q18="",0,IF($P18="",($Z18-$AE18-$AF18-$AG18-$AJ18-$AK18-$AL18-$AM18-$AN18),($Z18-$AE18-$AF18-$AG18-$AJ18-$AK18-$AL18-$AM18-$AN18)*15%/(40%+15%)))))</f>
        <v/>
      </c>
      <c r="AJ18" s="282">
        <f>IF($Z18="",0,$Z18*15%)</f>
        <v/>
      </c>
      <c r="AK18" s="200">
        <f>IF($Z18="",0,IF($R18="",0,$R18))</f>
        <v/>
      </c>
      <c r="AL18" s="200">
        <f>IF(OR($Z18="",$S18=""),0,$Z18*5%)</f>
        <v/>
      </c>
      <c r="AM18" s="200">
        <f>IF(OR($Z18="",$T18=""),0,$Z18*10%)</f>
        <v/>
      </c>
      <c r="AN18" s="200">
        <f>IF($Z18="",0,IF($U18="",0,$U18))</f>
        <v/>
      </c>
      <c r="AO18" s="56">
        <f>SUM(AE18:AM18)</f>
        <v/>
      </c>
    </row>
    <row r="19" ht="60.75" customHeight="1" s="300">
      <c r="A19" s="1" t="n">
        <v>16</v>
      </c>
      <c r="B19" s="290" t="n"/>
      <c r="C19" s="290" t="n"/>
      <c r="D19" s="53" t="inlineStr">
        <is>
          <t>DEV - WhatIf Visual Screens (Pump, Comp,Cond,Hex, Boiler) II</t>
        </is>
      </c>
      <c r="E19" s="230" t="inlineStr">
        <is>
          <t>https://octopusdtlsupport.atlassian.net/browse/O2-1991</t>
        </is>
      </c>
      <c r="F19" s="1" t="inlineStr">
        <is>
          <t>Process Team</t>
        </is>
      </c>
      <c r="G19" s="1" t="n"/>
      <c r="H19" s="24" t="n">
        <v>1</v>
      </c>
      <c r="I19" s="24" t="n"/>
      <c r="J19" s="24" t="n"/>
      <c r="K19" s="24" t="n">
        <v>1</v>
      </c>
      <c r="L19" s="24" t="inlineStr">
        <is>
          <t>UnPlan</t>
        </is>
      </c>
      <c r="M19" s="24" t="n">
        <v>1</v>
      </c>
      <c r="N19" s="24" t="n"/>
      <c r="O19" s="24" t="n">
        <v>5</v>
      </c>
      <c r="P19" s="24" t="n">
        <v>30</v>
      </c>
      <c r="Q19" s="24" t="n">
        <v>5</v>
      </c>
      <c r="R19" s="24" t="n">
        <v>3</v>
      </c>
      <c r="S19" s="24" t="n"/>
      <c r="T19" s="24" t="n"/>
      <c r="U19" s="24" t="n">
        <v>3</v>
      </c>
      <c r="V19" s="45">
        <f>SUM(M19:U19)</f>
        <v/>
      </c>
      <c r="W19" s="170">
        <f>V19 - (V19 * (SUBSTITUTE(SUBSTITUTE($W$2, "Optimistic (", ""), "%)", "") / 100))</f>
        <v/>
      </c>
      <c r="X19" s="170">
        <f>V19 + (W19 * (SUBSTITUTE(SUBSTITUTE($W$2, "Optimistic (", ""), "%)", "") / 100))</f>
        <v/>
      </c>
      <c r="Y19" s="175">
        <f>(W19+(4*V19)+X19)/6</f>
        <v/>
      </c>
      <c r="Z19" s="201">
        <f>Y19/2</f>
        <v/>
      </c>
      <c r="AA19" s="179" t="n">
        <v>46118</v>
      </c>
      <c r="AB19" s="179" t="n">
        <v>46135</v>
      </c>
      <c r="AC19" s="179" t="n">
        <v>46136</v>
      </c>
      <c r="AD19" s="223" t="n">
        <v>46141</v>
      </c>
      <c r="AE19" s="200">
        <f>IF($Z19="",0,IF($M19="",0,$M19))</f>
        <v/>
      </c>
      <c r="AF19" s="200">
        <f>IF(OR($Z19="",$N19=""),0,$Z19*5%)</f>
        <v/>
      </c>
      <c r="AG19" s="200">
        <f>IF(OR($Z19="",$O19=""),0,$Z19*10%)</f>
        <v/>
      </c>
      <c r="AH19" s="200">
        <f>IF($Z19="",0,IF(AND($P19="",$Q19=""),($Z19-$AE19-$AF19-$AG19-$AJ19-$AK19-$AL19-$AM19-$AN19),IF($P19="",0,IF($Q19="",($Z19-$AE19-$AF19-$AG19-$AJ19-$AK19-$AL19-$AM19-$AN19),($Z19-$AE19-$AF19-$AG19-$AJ19-$AK19-$AL19-$AM19-$AN19)*40%/(40%+15%)))))</f>
        <v/>
      </c>
      <c r="AI19" s="200">
        <f>IF($Z19="",0,IF(AND($P19="",$Q19=""),0,IF($Q19="",0,IF($P19="",($Z19-$AE19-$AF19-$AG19-$AJ19-$AK19-$AL19-$AM19-$AN19),($Z19-$AE19-$AF19-$AG19-$AJ19-$AK19-$AL19-$AM19-$AN19)*15%/(40%+15%)))))</f>
        <v/>
      </c>
      <c r="AJ19" s="282">
        <f>IF($Z19="",0,$Z19*15%)</f>
        <v/>
      </c>
      <c r="AK19" s="200">
        <f>IF($Z19="",0,IF($R19="",0,$R19))</f>
        <v/>
      </c>
      <c r="AL19" s="200">
        <f>IF(OR($Z19="",$S19=""),0,$Z19*5%)</f>
        <v/>
      </c>
      <c r="AM19" s="200">
        <f>IF(OR($Z19="",$T19=""),0,$Z19*10%)</f>
        <v/>
      </c>
      <c r="AN19" s="200">
        <f>IF($Z19="",0,IF($U19="",0,$U19))</f>
        <v/>
      </c>
      <c r="AO19" s="56">
        <f>SUM(AE19:AM19)</f>
        <v/>
      </c>
    </row>
    <row r="20" ht="60.75" customHeight="1" s="300">
      <c r="A20" s="1" t="n">
        <v>17</v>
      </c>
      <c r="B20" s="290" t="n"/>
      <c r="C20" s="290" t="n"/>
      <c r="D20" s="53" t="inlineStr">
        <is>
          <t>DEV - Tempate Tool Enhancement for WhatIf and Health</t>
        </is>
      </c>
      <c r="E20" s="230" t="inlineStr">
        <is>
          <t>https://octopusdtlsupport.atlassian.net/browse/O2-2186</t>
        </is>
      </c>
      <c r="F20" s="1" t="inlineStr">
        <is>
          <t>Process Team</t>
        </is>
      </c>
      <c r="G20" s="1" t="n"/>
      <c r="H20" s="24" t="n">
        <v>1</v>
      </c>
      <c r="I20" s="24" t="n"/>
      <c r="J20" s="24" t="n"/>
      <c r="K20" s="24" t="n">
        <v>1</v>
      </c>
      <c r="L20" s="24" t="n"/>
      <c r="M20" s="24" t="n">
        <v>4</v>
      </c>
      <c r="N20" s="24" t="n"/>
      <c r="O20" s="24" t="n"/>
      <c r="P20" s="24" t="n">
        <v>20</v>
      </c>
      <c r="Q20" s="24" t="n">
        <v>10</v>
      </c>
      <c r="R20" s="24" t="n">
        <v>5</v>
      </c>
      <c r="S20" s="24" t="n">
        <v>5</v>
      </c>
      <c r="T20" s="24" t="n"/>
      <c r="U20" s="24" t="n">
        <v>3</v>
      </c>
      <c r="V20" s="45">
        <f>SUM(M20:U20)</f>
        <v/>
      </c>
      <c r="W20" s="170">
        <f>V20 - (V20 * (SUBSTITUTE(SUBSTITUTE($W$2, "Optimistic (", ""), "%)", "") / 100))</f>
        <v/>
      </c>
      <c r="X20" s="170">
        <f>V20 + (W20 * (SUBSTITUTE(SUBSTITUTE($W$2, "Optimistic (", ""), "%)", "") / 100))</f>
        <v/>
      </c>
      <c r="Y20" s="175">
        <f>(W20+(4*V20)+X20)/6</f>
        <v/>
      </c>
      <c r="Z20" s="201">
        <f>Y20/2</f>
        <v/>
      </c>
      <c r="AA20" s="179" t="n">
        <v>46118</v>
      </c>
      <c r="AB20" s="179" t="n">
        <v>46128</v>
      </c>
      <c r="AC20" s="179" t="n">
        <v>46129</v>
      </c>
      <c r="AD20" s="223" t="n">
        <v>46139</v>
      </c>
      <c r="AE20" s="200">
        <f>IF($Z20="",0,IF($M20="",0,$M20))</f>
        <v/>
      </c>
      <c r="AF20" s="200">
        <f>IF(OR($Z20="",$N20=""),0,$Z20*5%)</f>
        <v/>
      </c>
      <c r="AG20" s="200">
        <f>IF(OR($Z20="",$O20=""),0,$Z20*10%)</f>
        <v/>
      </c>
      <c r="AH20" s="200">
        <f>IF($Z20="",0,IF(AND($P20="",$Q20=""),($Z20-$AE20-$AF20-$AG20-$AJ20-$AK20-$AL20-$AM20-$AN20),IF($P20="",0,IF($Q20="",($Z20-$AE20-$AF20-$AG20-$AJ20-$AK20-$AL20-$AM20-$AN20),($Z20-$AE20-$AF20-$AG20-$AJ20-$AK20-$AL20-$AM20-$AN20)*40%/(40%+15%)))))</f>
        <v/>
      </c>
      <c r="AI20" s="200">
        <f>IF($Z20="",0,IF(AND($P20="",$Q20=""),0,IF($Q20="",0,IF($P20="",($Z20-$AE20-$AF20-$AG20-$AJ20-$AK20-$AL20-$AM20-$AN20),($Z20-$AE20-$AF20-$AG20-$AJ20-$AK20-$AL20-$AM20-$AN20)*15%/(40%+15%)))))</f>
        <v/>
      </c>
      <c r="AJ20" s="282">
        <f>IF($Z20="",0,$Z20*15%)</f>
        <v/>
      </c>
      <c r="AK20" s="200">
        <f>IF($Z20="",0,IF($R20="",0,$R20))</f>
        <v/>
      </c>
      <c r="AL20" s="200">
        <f>IF(OR($Z20="",$S20=""),0,$Z20*5%)</f>
        <v/>
      </c>
      <c r="AM20" s="200">
        <f>IF(OR($Z20="",$T20=""),0,$Z20*10%)</f>
        <v/>
      </c>
      <c r="AN20" s="200">
        <f>IF($Z20="",0,IF($U20="",0,$U20))</f>
        <v/>
      </c>
      <c r="AO20" s="56">
        <f>SUM(AE20:AM20)</f>
        <v/>
      </c>
    </row>
    <row r="21" ht="15" customHeight="1" s="300">
      <c r="A21" s="1" t="n">
        <v>18</v>
      </c>
      <c r="B21" s="290" t="n"/>
      <c r="C21" s="290" t="n"/>
      <c r="D21" s="53" t="inlineStr">
        <is>
          <t>DEV - Performance Module Enhancements (Results in OC )</t>
        </is>
      </c>
      <c r="E21" s="53" t="n"/>
      <c r="F21" s="1" t="inlineStr">
        <is>
          <t>Process Team</t>
        </is>
      </c>
      <c r="G21" s="1" t="n"/>
      <c r="H21" s="24" t="n">
        <v>1</v>
      </c>
      <c r="I21" s="24" t="n"/>
      <c r="J21" s="24" t="n"/>
      <c r="K21" s="24" t="n">
        <v>1</v>
      </c>
      <c r="L21" s="24" t="inlineStr">
        <is>
          <t>UnPlan</t>
        </is>
      </c>
      <c r="M21" s="24" t="n">
        <v>5</v>
      </c>
      <c r="N21" s="24" t="n"/>
      <c r="O21" s="24" t="n"/>
      <c r="P21" s="24" t="n"/>
      <c r="Q21" s="24" t="n"/>
      <c r="R21" s="24" t="n">
        <v>0</v>
      </c>
      <c r="S21" s="24" t="n"/>
      <c r="T21" s="24" t="n"/>
      <c r="U21" s="24" t="n"/>
      <c r="V21" s="45">
        <f>SUM(M21:U21)</f>
        <v/>
      </c>
      <c r="W21" s="170">
        <f>V21 - (V21 * (SUBSTITUTE(SUBSTITUTE($W$2, "Optimistic (", ""), "%)", "") / 100))</f>
        <v/>
      </c>
      <c r="X21" s="170">
        <f>V21 + (W21 * (SUBSTITUTE(SUBSTITUTE($W$2, "Optimistic (", ""), "%)", "") / 100))</f>
        <v/>
      </c>
      <c r="Y21" s="175">
        <f>(W21+(4*V21)+X21)/6</f>
        <v/>
      </c>
      <c r="Z21" s="201">
        <f>Y21/2</f>
        <v/>
      </c>
      <c r="AA21" s="179" t="n"/>
      <c r="AB21" s="179" t="n"/>
      <c r="AC21" s="179" t="n"/>
      <c r="AD21" s="179" t="n"/>
      <c r="AE21" s="200">
        <f>IF($Z21="",0,IF($M21="",0,$M21))</f>
        <v/>
      </c>
      <c r="AF21" s="200">
        <f>IF(OR($Z21="",$N21=""),0,$Z21*5%)</f>
        <v/>
      </c>
      <c r="AG21" s="200">
        <f>IF(OR($Z21="",$O21=""),0,$Z21*10%)</f>
        <v/>
      </c>
      <c r="AH21" s="200">
        <f>IF($Z21="",0,IF(AND($P21="",$Q21=""),($Z21-$AE21-$AF21-$AG21-$AJ21-$AK21-$AL21-$AM21-$AN21),IF($P21="",0,IF($Q21="",($Z21-$AE21-$AF21-$AG21-$AJ21-$AK21-$AL21-$AM21-$AN21),($Z21-$AE21-$AF21-$AG21-$AJ21-$AK21-$AL21-$AM21-$AN21)*40%/(40%+15%)))))</f>
        <v/>
      </c>
      <c r="AI21" s="200">
        <f>IF($Z21="",0,IF(AND($P21="",$Q21=""),0,IF($Q21="",0,IF($P21="",($Z21-$AE21-$AF21-$AG21-$AJ21-$AK21-$AL21-$AM21-$AN21),($Z21-$AE21-$AF21-$AG21-$AJ21-$AK21-$AL21-$AM21-$AN21)*15%/(40%+15%)))))</f>
        <v/>
      </c>
      <c r="AJ21" s="282">
        <f>IF($Z21="",0,$Z21*15%)</f>
        <v/>
      </c>
      <c r="AK21" s="200">
        <f>IF($Z21="",0,IF($R21="",0,$R21))</f>
        <v/>
      </c>
      <c r="AL21" s="200">
        <f>IF(OR($Z21="",$S21=""),0,$Z21*5%)</f>
        <v/>
      </c>
      <c r="AM21" s="200">
        <f>IF(OR($Z21="",$T21=""),0,$Z21*10%)</f>
        <v/>
      </c>
      <c r="AN21" s="200">
        <f>IF($Z21="",0,IF($U21="",0,$U21))</f>
        <v/>
      </c>
      <c r="AO21" s="56">
        <f>SUM(AE21:AM21)</f>
        <v/>
      </c>
    </row>
    <row r="22" ht="15" customHeight="1" s="300">
      <c r="A22" s="1" t="n">
        <v>19</v>
      </c>
      <c r="B22" s="290" t="n"/>
      <c r="C22" s="288" t="n"/>
      <c r="D22" s="52" t="inlineStr">
        <is>
          <t>APX - Demos</t>
        </is>
      </c>
      <c r="E22" s="52" t="n"/>
      <c r="F22" s="1" t="inlineStr">
        <is>
          <t>Process Team</t>
        </is>
      </c>
      <c r="G22" s="1" t="n"/>
      <c r="H22" s="24" t="n">
        <v>1</v>
      </c>
      <c r="I22" s="24" t="n"/>
      <c r="J22" s="24" t="n"/>
      <c r="K22" s="57" t="inlineStr">
        <is>
          <t>1+</t>
        </is>
      </c>
      <c r="L22" s="24" t="inlineStr">
        <is>
          <t>Plan</t>
        </is>
      </c>
      <c r="M22" s="24" t="n">
        <v>8</v>
      </c>
      <c r="N22" s="24" t="n"/>
      <c r="O22" s="24" t="n"/>
      <c r="P22" s="24" t="n"/>
      <c r="Q22" s="24" t="n"/>
      <c r="R22" s="24" t="n">
        <v>0</v>
      </c>
      <c r="S22" s="24" t="n"/>
      <c r="T22" s="24" t="n"/>
      <c r="U22" s="24" t="n"/>
      <c r="V22" s="45">
        <f>SUM(M22:U22)</f>
        <v/>
      </c>
      <c r="W22" s="170">
        <f>V22 - (V22 * (SUBSTITUTE(SUBSTITUTE($W$2, "Optimistic (", ""), "%)", "") / 100))</f>
        <v/>
      </c>
      <c r="X22" s="170">
        <f>V22 + (W22 * (SUBSTITUTE(SUBSTITUTE($W$2, "Optimistic (", ""), "%)", "") / 100))</f>
        <v/>
      </c>
      <c r="Y22" s="175">
        <f>(W22+(4*V22)+X22)/6</f>
        <v/>
      </c>
      <c r="Z22" s="201">
        <f>Y22/2</f>
        <v/>
      </c>
      <c r="AA22" s="179" t="n"/>
      <c r="AB22" s="179" t="n"/>
      <c r="AC22" s="179" t="n"/>
      <c r="AD22" s="179" t="n"/>
      <c r="AE22" s="200">
        <f>IF($Z22="",0,IF($M22="",0,$M22))</f>
        <v/>
      </c>
      <c r="AF22" s="200">
        <f>IF(OR($Z22="",$N22=""),0,$Z22*5%)</f>
        <v/>
      </c>
      <c r="AG22" s="200">
        <f>IF(OR($Z22="",$O22=""),0,$Z22*10%)</f>
        <v/>
      </c>
      <c r="AH22" s="200">
        <f>IF($Z22="",0,IF(AND($P22="",$Q22=""),($Z22-$AE22-$AF22-$AG22-$AJ22-$AK22-$AL22-$AM22-$AN22),IF($P22="",0,IF($Q22="",($Z22-$AE22-$AF22-$AG22-$AJ22-$AK22-$AL22-$AM22-$AN22),($Z22-$AE22-$AF22-$AG22-$AJ22-$AK22-$AL22-$AM22-$AN22)*40%/(40%+15%)))))</f>
        <v/>
      </c>
      <c r="AI22" s="200">
        <f>IF($Z22="",0,IF(AND($P22="",$Q22=""),0,IF($Q22="",0,IF($P22="",($Z22-$AE22-$AF22-$AG22-$AJ22-$AK22-$AL22-$AM22-$AN22),($Z22-$AE22-$AF22-$AG22-$AJ22-$AK22-$AL22-$AM22-$AN22)*15%/(40%+15%)))))</f>
        <v/>
      </c>
      <c r="AJ22" s="282">
        <f>IF($Z22="",0,$Z22*15%)</f>
        <v/>
      </c>
      <c r="AK22" s="200">
        <f>IF($Z22="",0,IF($R22="",0,$R22))</f>
        <v/>
      </c>
      <c r="AL22" s="200">
        <f>IF(OR($Z22="",$S22=""),0,$Z22*5%)</f>
        <v/>
      </c>
      <c r="AM22" s="200">
        <f>IF(OR($Z22="",$T22=""),0,$Z22*10%)</f>
        <v/>
      </c>
      <c r="AN22" s="200">
        <f>IF($Z22="",0,IF($U22="",0,$U22))</f>
        <v/>
      </c>
      <c r="AO22" s="56">
        <f>SUM(AE22:AM22)</f>
        <v/>
      </c>
    </row>
    <row r="23" ht="15" customHeight="1" s="300">
      <c r="A23" s="1" t="n">
        <v>20</v>
      </c>
      <c r="B23" s="290" t="n"/>
      <c r="C23" s="289" t="inlineStr">
        <is>
          <t>Batch / BPM</t>
        </is>
      </c>
      <c r="D23" s="50" t="inlineStr">
        <is>
          <t>IT/OT Conversion Batch/BPM (on hold)</t>
        </is>
      </c>
      <c r="E23" s="50" t="n"/>
      <c r="F23" s="1" t="inlineStr">
        <is>
          <t>RnD</t>
        </is>
      </c>
      <c r="G23" s="1" t="n"/>
      <c r="H23" s="24" t="n"/>
      <c r="I23" s="24" t="n"/>
      <c r="J23" s="24" t="n"/>
      <c r="K23" s="24" t="n"/>
      <c r="L23" s="24" t="inlineStr">
        <is>
          <t>UnPlan</t>
        </is>
      </c>
      <c r="M23" s="24" t="inlineStr">
        <is>
          <t>-</t>
        </is>
      </c>
      <c r="N23" s="24" t="n"/>
      <c r="O23" s="24" t="n"/>
      <c r="P23" s="24" t="n"/>
      <c r="Q23" s="24" t="n"/>
      <c r="R23" s="24" t="inlineStr">
        <is>
          <t>-</t>
        </is>
      </c>
      <c r="S23" s="24" t="n"/>
      <c r="T23" s="24" t="n"/>
      <c r="U23" s="24" t="n"/>
      <c r="V23" s="45">
        <f>SUM(M23:U23)</f>
        <v/>
      </c>
      <c r="W23" s="170">
        <f>V23 - (V23 * (SUBSTITUTE(SUBSTITUTE($W$2, "Optimistic (", ""), "%)", "") / 100))</f>
        <v/>
      </c>
      <c r="X23" s="170">
        <f>V23 + (W23 * (SUBSTITUTE(SUBSTITUTE($W$2, "Optimistic (", ""), "%)", "") / 100))</f>
        <v/>
      </c>
      <c r="Y23" s="175">
        <f>(W23+(4*V23)+X23)/6</f>
        <v/>
      </c>
      <c r="Z23" s="201">
        <f>Y23/2</f>
        <v/>
      </c>
      <c r="AA23" s="179" t="n"/>
      <c r="AB23" s="179" t="n"/>
      <c r="AC23" s="179" t="n"/>
      <c r="AD23" s="179" t="n"/>
      <c r="AE23" s="200">
        <f>IF($Z23="",0,IF($M23="",0,$M23))</f>
        <v/>
      </c>
      <c r="AF23" s="200">
        <f>IF(OR($Z23="",$N23=""),0,$Z23*5%)</f>
        <v/>
      </c>
      <c r="AG23" s="200">
        <f>IF(OR($Z23="",$O23=""),0,$Z23*10%)</f>
        <v/>
      </c>
      <c r="AH23" s="200">
        <f>IF($Z23="",0,IF(AND($P23="",$Q23=""),($Z23-$AE23-$AF23-$AG23-$AJ23-$AK23-$AL23-$AM23-$AN23),IF($P23="",0,IF($Q23="",($Z23-$AE23-$AF23-$AG23-$AJ23-$AK23-$AL23-$AM23-$AN23),($Z23-$AE23-$AF23-$AG23-$AJ23-$AK23-$AL23-$AM23-$AN23)*40%/(40%+15%)))))</f>
        <v/>
      </c>
      <c r="AI23" s="200">
        <f>IF($Z23="",0,IF(AND($P23="",$Q23=""),0,IF($Q23="",0,IF($P23="",($Z23-$AE23-$AF23-$AG23-$AJ23-$AK23-$AL23-$AM23-$AN23),($Z23-$AE23-$AF23-$AG23-$AJ23-$AK23-$AL23-$AM23-$AN23)*15%/(40%+15%)))))</f>
        <v/>
      </c>
      <c r="AJ23" s="282">
        <f>IF($Z23="",0,$Z23*15%)</f>
        <v/>
      </c>
      <c r="AK23" s="200">
        <f>IF($Z23="",0,IF($R23="",0,$R23))</f>
        <v/>
      </c>
      <c r="AL23" s="200">
        <f>IF(OR($Z23="",$S23=""),0,$Z23*5%)</f>
        <v/>
      </c>
      <c r="AM23" s="200">
        <f>IF(OR($Z23="",$T23=""),0,$Z23*10%)</f>
        <v/>
      </c>
      <c r="AN23" s="200">
        <f>IF($Z23="",0,IF($U23="",0,$U23))</f>
        <v/>
      </c>
      <c r="AO23" s="56">
        <f>SUM(AE23:AM23)</f>
        <v/>
      </c>
    </row>
    <row r="24" ht="30.75" customHeight="1" s="300">
      <c r="A24" s="1" t="n">
        <v>21</v>
      </c>
      <c r="B24" s="290" t="n"/>
      <c r="C24" s="290" t="n"/>
      <c r="D24" s="64" t="inlineStr">
        <is>
          <t>Support for SQL Language in Batch/BPM(Features Supported by adx) (Discussion Required)</t>
        </is>
      </c>
      <c r="E24" s="64" t="n"/>
      <c r="F24" s="1" t="inlineStr">
        <is>
          <t>RnD</t>
        </is>
      </c>
      <c r="G24" s="1" t="n"/>
      <c r="H24" s="24" t="n"/>
      <c r="I24" s="24" t="n"/>
      <c r="J24" s="24" t="n"/>
      <c r="K24" s="24" t="n">
        <v>2</v>
      </c>
      <c r="L24" s="24" t="inlineStr">
        <is>
          <t>UnPlan</t>
        </is>
      </c>
      <c r="M24" s="24" t="inlineStr">
        <is>
          <t>-</t>
        </is>
      </c>
      <c r="N24" s="24" t="n"/>
      <c r="O24" s="24" t="n"/>
      <c r="P24" s="24" t="n"/>
      <c r="Q24" s="24" t="n"/>
      <c r="R24" s="24" t="inlineStr">
        <is>
          <t>-</t>
        </is>
      </c>
      <c r="S24" s="24" t="n"/>
      <c r="T24" s="24" t="n"/>
      <c r="U24" s="24" t="n"/>
      <c r="V24" s="45">
        <f>SUM(M24:U24)</f>
        <v/>
      </c>
      <c r="W24" s="170">
        <f>V24 - (V24 * (SUBSTITUTE(SUBSTITUTE($W$2, "Optimistic (", ""), "%)", "") / 100))</f>
        <v/>
      </c>
      <c r="X24" s="170">
        <f>V24 + (W24 * (SUBSTITUTE(SUBSTITUTE($W$2, "Optimistic (", ""), "%)", "") / 100))</f>
        <v/>
      </c>
      <c r="Y24" s="175">
        <f>(W24+(4*V24)+X24)/6</f>
        <v/>
      </c>
      <c r="Z24" s="201">
        <f>Y24/2</f>
        <v/>
      </c>
      <c r="AA24" s="179" t="n"/>
      <c r="AB24" s="179" t="n"/>
      <c r="AC24" s="179" t="n"/>
      <c r="AD24" s="179" t="n"/>
      <c r="AE24" s="200">
        <f>IF($Z24="",0,IF($M24="",0,$M24))</f>
        <v/>
      </c>
      <c r="AF24" s="200">
        <f>IF(OR($Z24="",$N24=""),0,$Z24*5%)</f>
        <v/>
      </c>
      <c r="AG24" s="200">
        <f>IF(OR($Z24="",$O24=""),0,$Z24*10%)</f>
        <v/>
      </c>
      <c r="AH24" s="200">
        <f>IF($Z24="",0,IF(AND($P24="",$Q24=""),($Z24-$AE24-$AF24-$AG24-$AJ24-$AK24-$AL24-$AM24-$AN24),IF($P24="",0,IF($Q24="",($Z24-$AE24-$AF24-$AG24-$AJ24-$AK24-$AL24-$AM24-$AN24),($Z24-$AE24-$AF24-$AG24-$AJ24-$AK24-$AL24-$AM24-$AN24)*40%/(40%+15%)))))</f>
        <v/>
      </c>
      <c r="AI24" s="200">
        <f>IF($Z24="",0,IF(AND($P24="",$Q24=""),0,IF($Q24="",0,IF($P24="",($Z24-$AE24-$AF24-$AG24-$AJ24-$AK24-$AL24-$AM24-$AN24),($Z24-$AE24-$AF24-$AG24-$AJ24-$AK24-$AL24-$AM24-$AN24)*15%/(40%+15%)))))</f>
        <v/>
      </c>
      <c r="AJ24" s="282">
        <f>IF($Z24="",0,$Z24*15%)</f>
        <v/>
      </c>
      <c r="AK24" s="200">
        <f>IF($Z24="",0,IF($R24="",0,$R24))</f>
        <v/>
      </c>
      <c r="AL24" s="200">
        <f>IF(OR($Z24="",$S24=""),0,$Z24*5%)</f>
        <v/>
      </c>
      <c r="AM24" s="200">
        <f>IF(OR($Z24="",$T24=""),0,$Z24*10%)</f>
        <v/>
      </c>
      <c r="AN24" s="200">
        <f>IF($Z24="",0,IF($U24="",0,$U24))</f>
        <v/>
      </c>
      <c r="AO24" s="56">
        <f>SUM(AE24:AM24)</f>
        <v/>
      </c>
    </row>
    <row r="25" ht="30.75" customHeight="1" s="300">
      <c r="A25" s="1" t="n">
        <v>25</v>
      </c>
      <c r="B25" s="290" t="n"/>
      <c r="C25" s="288" t="n"/>
      <c r="D25" s="64" t="inlineStr">
        <is>
          <t>"Create Asset from Template" Add BPM support (Discussion Required)</t>
        </is>
      </c>
      <c r="E25" s="64" t="n"/>
      <c r="F25" s="1" t="inlineStr">
        <is>
          <t>RnD</t>
        </is>
      </c>
      <c r="G25" s="1" t="inlineStr">
        <is>
          <t>Faster Impl</t>
        </is>
      </c>
      <c r="H25" s="24" t="n"/>
      <c r="I25" s="24" t="n"/>
      <c r="J25" s="24" t="n"/>
      <c r="K25" s="24" t="n">
        <v>2</v>
      </c>
      <c r="L25" s="24" t="inlineStr">
        <is>
          <t>UnPlan</t>
        </is>
      </c>
      <c r="M25" s="24" t="n"/>
      <c r="N25" s="24" t="n"/>
      <c r="O25" s="24" t="n"/>
      <c r="P25" s="24" t="n"/>
      <c r="Q25" s="24" t="n"/>
      <c r="R25" s="24" t="n"/>
      <c r="S25" s="24" t="n"/>
      <c r="T25" s="24" t="n"/>
      <c r="U25" s="24" t="n"/>
      <c r="V25" s="45">
        <f>SUM(M25:U25)</f>
        <v/>
      </c>
      <c r="W25" s="170">
        <f>V25 - (V25 * (SUBSTITUTE(SUBSTITUTE($W$2, "Optimistic (", ""), "%)", "") / 100))</f>
        <v/>
      </c>
      <c r="X25" s="170">
        <f>V25 + (W25 * (SUBSTITUTE(SUBSTITUTE($W$2, "Optimistic (", ""), "%)", "") / 100))</f>
        <v/>
      </c>
      <c r="Y25" s="175">
        <f>(W25+(4*V25)+X25)/6</f>
        <v/>
      </c>
      <c r="Z25" s="201">
        <f>Y25/2</f>
        <v/>
      </c>
      <c r="AA25" s="179" t="n"/>
      <c r="AB25" s="179" t="n"/>
      <c r="AC25" s="179" t="n"/>
      <c r="AD25" s="179" t="n"/>
      <c r="AE25" s="200">
        <f>IF($Z25="",0,IF($M25="",0,$M25))</f>
        <v/>
      </c>
      <c r="AF25" s="200">
        <f>IF(OR($Z25="",$N25=""),0,$Z25*5%)</f>
        <v/>
      </c>
      <c r="AG25" s="200">
        <f>IF(OR($Z25="",$O25=""),0,$Z25*10%)</f>
        <v/>
      </c>
      <c r="AH25" s="200">
        <f>IF($Z25="",0,IF(AND($P25="",$Q25=""),($Z25-$AE25-$AF25-$AG25-$AJ25-$AK25-$AL25-$AM25-$AN25),IF($P25="",0,IF($Q25="",($Z25-$AE25-$AF25-$AG25-$AJ25-$AK25-$AL25-$AM25-$AN25),($Z25-$AE25-$AF25-$AG25-$AJ25-$AK25-$AL25-$AM25-$AN25)*40%/(40%+15%)))))</f>
        <v/>
      </c>
      <c r="AI25" s="200">
        <f>IF($Z25="",0,IF(AND($P25="",$Q25=""),0,IF($Q25="",0,IF($P25="",($Z25-$AE25-$AF25-$AG25-$AJ25-$AK25-$AL25-$AM25-$AN25),($Z25-$AE25-$AF25-$AG25-$AJ25-$AK25-$AL25-$AM25-$AN25)*15%/(40%+15%)))))</f>
        <v/>
      </c>
      <c r="AJ25" s="282">
        <f>IF($Z25="",0,$Z25*15%)</f>
        <v/>
      </c>
      <c r="AK25" s="200">
        <f>IF($Z25="",0,IF($R25="",0,$R25))</f>
        <v/>
      </c>
      <c r="AL25" s="200">
        <f>IF(OR($Z25="",$S25=""),0,$Z25*5%)</f>
        <v/>
      </c>
      <c r="AM25" s="200">
        <f>IF(OR($Z25="",$T25=""),0,$Z25*10%)</f>
        <v/>
      </c>
      <c r="AN25" s="200">
        <f>IF($Z25="",0,IF($U25="",0,$U25))</f>
        <v/>
      </c>
      <c r="AO25" s="56">
        <f>SUM(AE25:AM25)</f>
        <v/>
      </c>
    </row>
    <row r="26" ht="15" customHeight="1" s="300">
      <c r="A26" s="1" t="n">
        <v>26</v>
      </c>
      <c r="B26" s="290" t="n"/>
      <c r="C26" s="289" t="inlineStr">
        <is>
          <t>Enterprise connectors</t>
        </is>
      </c>
      <c r="D26" s="196" t="inlineStr">
        <is>
          <t>Enterprise Connectors Pipeline OnDemand Trigger</t>
        </is>
      </c>
      <c r="E26" s="196" t="n"/>
      <c r="F26" s="1" t="inlineStr">
        <is>
          <t>Imp Team</t>
        </is>
      </c>
      <c r="G26" s="1" t="inlineStr">
        <is>
          <t>Faster Impl</t>
        </is>
      </c>
      <c r="H26" s="24" t="n">
        <v>3</v>
      </c>
      <c r="I26" s="24" t="n"/>
      <c r="J26" s="24" t="n"/>
      <c r="K26" s="24" t="n">
        <v>3</v>
      </c>
      <c r="L26" s="24" t="inlineStr">
        <is>
          <t>UnPlan</t>
        </is>
      </c>
      <c r="M26" s="24" t="n"/>
      <c r="N26" s="24" t="n"/>
      <c r="O26" s="24" t="n"/>
      <c r="P26" s="24" t="n"/>
      <c r="Q26" s="24" t="n"/>
      <c r="R26" s="24" t="n"/>
      <c r="S26" s="24" t="n"/>
      <c r="T26" s="24" t="n"/>
      <c r="U26" s="24" t="n"/>
      <c r="V26" s="45">
        <f>SUM(M26:U26)</f>
        <v/>
      </c>
      <c r="W26" s="170">
        <f>V26 - (V26 * (SUBSTITUTE(SUBSTITUTE($W$2, "Optimistic (", ""), "%)", "") / 100))</f>
        <v/>
      </c>
      <c r="X26" s="170">
        <f>V26 + (W26 * (SUBSTITUTE(SUBSTITUTE($W$2, "Optimistic (", ""), "%)", "") / 100))</f>
        <v/>
      </c>
      <c r="Y26" s="175">
        <f>(W26+(4*V26)+X26)/6</f>
        <v/>
      </c>
      <c r="Z26" s="201">
        <f>Y26/2</f>
        <v/>
      </c>
      <c r="AA26" s="179" t="n"/>
      <c r="AB26" s="179" t="n"/>
      <c r="AC26" s="179" t="n"/>
      <c r="AD26" s="179" t="n"/>
      <c r="AE26" s="200">
        <f>IF($Z26="",0,IF($M26="",0,$M26))</f>
        <v/>
      </c>
      <c r="AF26" s="200">
        <f>IF(OR($Z26="",$N26=""),0,$Z26*5%)</f>
        <v/>
      </c>
      <c r="AG26" s="200">
        <f>IF(OR($Z26="",$O26=""),0,$Z26*10%)</f>
        <v/>
      </c>
      <c r="AH26" s="200">
        <f>IF($Z26="",0,IF(AND($P26="",$Q26=""),($Z26-$AE26-$AF26-$AG26-$AJ26-$AK26-$AL26-$AM26-$AN26),IF($P26="",0,IF($Q26="",($Z26-$AE26-$AF26-$AG26-$AJ26-$AK26-$AL26-$AM26-$AN26),($Z26-$AE26-$AF26-$AG26-$AJ26-$AK26-$AL26-$AM26-$AN26)*40%/(40%+15%)))))</f>
        <v/>
      </c>
      <c r="AI26" s="200">
        <f>IF($Z26="",0,IF(AND($P26="",$Q26=""),0,IF($Q26="",0,IF($P26="",($Z26-$AE26-$AF26-$AG26-$AJ26-$AK26-$AL26-$AM26-$AN26),($Z26-$AE26-$AF26-$AG26-$AJ26-$AK26-$AL26-$AM26-$AN26)*15%/(40%+15%)))))</f>
        <v/>
      </c>
      <c r="AJ26" s="282">
        <f>IF($Z26="",0,$Z26*15%)</f>
        <v/>
      </c>
      <c r="AK26" s="200">
        <f>IF($Z26="",0,IF($R26="",0,$R26))</f>
        <v/>
      </c>
      <c r="AL26" s="200">
        <f>IF(OR($Z26="",$S26=""),0,$Z26*5%)</f>
        <v/>
      </c>
      <c r="AM26" s="200">
        <f>IF(OR($Z26="",$T26=""),0,$Z26*10%)</f>
        <v/>
      </c>
      <c r="AN26" s="200">
        <f>IF($Z26="",0,IF($U26="",0,$U26))</f>
        <v/>
      </c>
      <c r="AO26" s="56">
        <f>SUM(AE26:AM26)</f>
        <v/>
      </c>
      <c r="AP26" t="inlineStr">
        <is>
          <t>In the meantime we should document the process of achieving that as project implementation</t>
        </is>
      </c>
    </row>
    <row r="27" ht="15" customHeight="1" s="300">
      <c r="A27" s="1" t="n">
        <v>27</v>
      </c>
      <c r="B27" s="290" t="n"/>
      <c r="C27" s="288" t="n"/>
      <c r="D27" s="50" t="inlineStr">
        <is>
          <t>IT/OT Conversion for Enterprise Connectors (on hold)</t>
        </is>
      </c>
      <c r="E27" s="50" t="n"/>
      <c r="F27" s="1" t="inlineStr">
        <is>
          <t>RnD</t>
        </is>
      </c>
      <c r="G27" s="1" t="n"/>
      <c r="H27" s="24" t="n">
        <v>3</v>
      </c>
      <c r="I27" s="24" t="n"/>
      <c r="J27" s="24" t="n"/>
      <c r="K27" s="24" t="n">
        <v>1</v>
      </c>
      <c r="L27" s="24" t="inlineStr">
        <is>
          <t>UnPlan</t>
        </is>
      </c>
      <c r="M27" s="24" t="n"/>
      <c r="N27" s="24" t="n"/>
      <c r="O27" s="24" t="n"/>
      <c r="P27" s="24" t="n"/>
      <c r="Q27" s="24" t="n"/>
      <c r="R27" s="24" t="n"/>
      <c r="S27" s="24" t="n"/>
      <c r="T27" s="24" t="n"/>
      <c r="U27" s="24" t="n"/>
      <c r="V27" s="45">
        <f>SUM(M27:U27)</f>
        <v/>
      </c>
      <c r="W27" s="170">
        <f>V27 - (V27 * (SUBSTITUTE(SUBSTITUTE($W$2, "Optimistic (", ""), "%)", "") / 100))</f>
        <v/>
      </c>
      <c r="X27" s="170">
        <f>V27 + (W27 * (SUBSTITUTE(SUBSTITUTE($W$2, "Optimistic (", ""), "%)", "") / 100))</f>
        <v/>
      </c>
      <c r="Y27" s="175">
        <f>(W27+(4*V27)+X27)/6</f>
        <v/>
      </c>
      <c r="Z27" s="201">
        <f>Y27/2</f>
        <v/>
      </c>
      <c r="AA27" s="179" t="n"/>
      <c r="AB27" s="179" t="n"/>
      <c r="AC27" s="179" t="n"/>
      <c r="AD27" s="179" t="n"/>
      <c r="AE27" s="200">
        <f>IF($Z27="",0,IF($M27="",0,$M27))</f>
        <v/>
      </c>
      <c r="AF27" s="200">
        <f>IF(OR($Z27="",$N27=""),0,$Z27*5%)</f>
        <v/>
      </c>
      <c r="AG27" s="200">
        <f>IF(OR($Z27="",$O27=""),0,$Z27*10%)</f>
        <v/>
      </c>
      <c r="AH27" s="200">
        <f>IF($Z27="",0,IF(AND($P27="",$Q27=""),($Z27-$AE27-$AF27-$AG27-$AJ27-$AK27-$AL27-$AM27-$AN27),IF($P27="",0,IF($Q27="",($Z27-$AE27-$AF27-$AG27-$AJ27-$AK27-$AL27-$AM27-$AN27),($Z27-$AE27-$AF27-$AG27-$AJ27-$AK27-$AL27-$AM27-$AN27)*40%/(40%+15%)))))</f>
        <v/>
      </c>
      <c r="AI27" s="200">
        <f>IF($Z27="",0,IF(AND($P27="",$Q27=""),0,IF($Q27="",0,IF($P27="",($Z27-$AE27-$AF27-$AG27-$AJ27-$AK27-$AL27-$AM27-$AN27),($Z27-$AE27-$AF27-$AG27-$AJ27-$AK27-$AL27-$AM27-$AN27)*15%/(40%+15%)))))</f>
        <v/>
      </c>
      <c r="AJ27" s="282">
        <f>IF($Z27="",0,$Z27*15%)</f>
        <v/>
      </c>
      <c r="AK27" s="200">
        <f>IF($Z27="",0,IF($R27="",0,$R27))</f>
        <v/>
      </c>
      <c r="AL27" s="200">
        <f>IF(OR($Z27="",$S27=""),0,$Z27*5%)</f>
        <v/>
      </c>
      <c r="AM27" s="200">
        <f>IF(OR($Z27="",$T27=""),0,$Z27*10%)</f>
        <v/>
      </c>
      <c r="AN27" s="200">
        <f>IF($Z27="",0,IF($U27="",0,$U27))</f>
        <v/>
      </c>
      <c r="AO27" s="56">
        <f>SUM(AE27:AM27)</f>
        <v/>
      </c>
    </row>
    <row r="28" ht="60.75" customHeight="1" s="300">
      <c r="A28" s="1" t="n">
        <v>28</v>
      </c>
      <c r="B28" s="290" t="n"/>
      <c r="C28" s="2" t="inlineStr">
        <is>
          <t>Calculated Tags Enhancement</t>
        </is>
      </c>
      <c r="D28" s="50" t="inlineStr">
        <is>
          <t>Nesting of Counter, Timer, Totalizer</t>
        </is>
      </c>
      <c r="E28" s="230" t="inlineStr">
        <is>
          <t>https://octopusdtlsupport.atlassian.net/browse/O2-697</t>
        </is>
      </c>
      <c r="F28" s="23" t="inlineStr">
        <is>
          <t>RnD</t>
        </is>
      </c>
      <c r="G28" s="1" t="n"/>
      <c r="H28" s="24" t="n">
        <v>1</v>
      </c>
      <c r="I28" s="24" t="n"/>
      <c r="J28" s="24" t="n"/>
      <c r="K28" s="24" t="n">
        <v>2</v>
      </c>
      <c r="L28" s="24" t="inlineStr">
        <is>
          <t>Plan</t>
        </is>
      </c>
      <c r="M28" s="24" t="n"/>
      <c r="N28" s="24" t="n"/>
      <c r="O28" s="24" t="n">
        <v>2</v>
      </c>
      <c r="P28" s="24" t="n">
        <v>20</v>
      </c>
      <c r="Q28" s="24" t="n">
        <v>15</v>
      </c>
      <c r="R28" s="24" t="n"/>
      <c r="S28" s="24" t="n">
        <v>4</v>
      </c>
      <c r="T28" s="24" t="n">
        <v>25</v>
      </c>
      <c r="U28" s="24">
        <f>7+10+2</f>
        <v/>
      </c>
      <c r="V28" s="45">
        <f>SUM(M28:U28)</f>
        <v/>
      </c>
      <c r="W28" s="170">
        <f>V28 - (V28 * (SUBSTITUTE(SUBSTITUTE($W$2, "Optimistic (", ""), "%)", "") / 100))</f>
        <v/>
      </c>
      <c r="X28" s="170">
        <f>V28 + (W28 * (SUBSTITUTE(SUBSTITUTE($W$2, "Optimistic (", ""), "%)", "") / 100))</f>
        <v/>
      </c>
      <c r="Y28" s="175">
        <f>(W28+(4*V28)+X28)/6</f>
        <v/>
      </c>
      <c r="Z28" s="201">
        <f>Y28/2</f>
        <v/>
      </c>
      <c r="AA28" s="179" t="n">
        <v>46146</v>
      </c>
      <c r="AB28" s="179" t="n">
        <v>46163</v>
      </c>
      <c r="AC28" s="179" t="n">
        <v>46164</v>
      </c>
      <c r="AD28" s="179" t="n">
        <v>46171</v>
      </c>
      <c r="AE28" s="200">
        <f>IF($Z28="",0,IF($M28="",0,$M28))</f>
        <v/>
      </c>
      <c r="AF28" s="200">
        <f>IF(OR($Z28="",$N28=""),0,$Z28*5%)</f>
        <v/>
      </c>
      <c r="AG28" s="200">
        <f>IF(OR($Z28="",$O28=""),0,$Z28*10%)</f>
        <v/>
      </c>
      <c r="AH28" s="200">
        <f>IF($Z28="",0,IF(AND($P28="",$Q28=""),($Z28-$AE28-$AF28-$AG28-$AJ28-$AK28-$AL28-$AM28-$AN28),IF($P28="",0,IF($Q28="",($Z28-$AE28-$AF28-$AG28-$AJ28-$AK28-$AL28-$AM28-$AN28),($Z28-$AE28-$AF28-$AG28-$AJ28-$AK28-$AL28-$AM28-$AN28)*40%/(40%+15%)))))</f>
        <v/>
      </c>
      <c r="AI28" s="200">
        <f>IF($Z28="",0,IF(AND($P28="",$Q28=""),0,IF($Q28="",0,IF($P28="",($Z28-$AE28-$AF28-$AG28-$AJ28-$AK28-$AL28-$AM28-$AN28),($Z28-$AE28-$AF28-$AG28-$AJ28-$AK28-$AL28-$AM28-$AN28)*15%/(40%+15%)))))</f>
        <v/>
      </c>
      <c r="AJ28" s="282">
        <f>IF($Z28="",0,$Z28*15%)</f>
        <v/>
      </c>
      <c r="AK28" s="200">
        <f>IF($Z28="",0,IF($R28="",0,$R28))</f>
        <v/>
      </c>
      <c r="AL28" s="200">
        <f>IF(OR($Z28="",$S28=""),0,$Z28*5%)</f>
        <v/>
      </c>
      <c r="AM28" s="200">
        <f>IF(OR($Z28="",$T28=""),0,$Z28*10%)</f>
        <v/>
      </c>
      <c r="AN28" s="200">
        <f>IF($Z28="",0,IF($U28="",0,$U28))</f>
        <v/>
      </c>
      <c r="AO28" s="56">
        <f>SUM(AE28:AM28)</f>
        <v/>
      </c>
      <c r="AP28" t="inlineStr">
        <is>
          <t>Thought it was already done</t>
        </is>
      </c>
    </row>
    <row r="29" ht="15" customHeight="1" s="300">
      <c r="A29" s="1" t="n">
        <v>29</v>
      </c>
      <c r="B29" s="290" t="n"/>
      <c r="C29" s="289" t="inlineStr">
        <is>
          <t>Anomaly Detection Engine (ADE)</t>
        </is>
      </c>
      <c r="D29" s="64" t="inlineStr">
        <is>
          <t>ADE for Batch/BPM IT Data (Discussion Requried)</t>
        </is>
      </c>
      <c r="E29" s="64" t="n"/>
      <c r="F29" s="1" t="inlineStr">
        <is>
          <t>RnD</t>
        </is>
      </c>
      <c r="G29" s="1" t="n"/>
      <c r="H29" s="24" t="n">
        <v>2</v>
      </c>
      <c r="I29" s="24" t="n"/>
      <c r="J29" s="24" t="n"/>
      <c r="K29" s="24" t="inlineStr">
        <is>
          <t>1+</t>
        </is>
      </c>
      <c r="L29" s="24" t="inlineStr">
        <is>
          <t>UnPlan</t>
        </is>
      </c>
      <c r="M29" s="24" t="n"/>
      <c r="N29" s="24" t="n"/>
      <c r="O29" s="24" t="n"/>
      <c r="P29" s="24" t="n"/>
      <c r="Q29" s="24" t="n"/>
      <c r="R29" s="24" t="n"/>
      <c r="S29" s="24" t="n"/>
      <c r="T29" s="24" t="n"/>
      <c r="U29" s="24" t="n"/>
      <c r="V29" s="45" t="n"/>
      <c r="W29" s="170">
        <f>V29 - (V29 * (SUBSTITUTE(SUBSTITUTE($W$2, "Optimistic (", ""), "%)", "") / 100))</f>
        <v/>
      </c>
      <c r="X29" s="170">
        <f>V29 + (W29 * (SUBSTITUTE(SUBSTITUTE($W$2, "Optimistic (", ""), "%)", "") / 100))</f>
        <v/>
      </c>
      <c r="Y29" s="175">
        <f>(W29+(4*V29)+X29)/6</f>
        <v/>
      </c>
      <c r="Z29" s="201">
        <f>Y29/2</f>
        <v/>
      </c>
      <c r="AA29" s="179" t="n"/>
      <c r="AB29" s="179" t="n"/>
      <c r="AC29" s="179" t="n"/>
      <c r="AD29" s="179" t="n"/>
      <c r="AE29" s="200">
        <f>IF($Z29="",0,IF($M29="",0,$M29))</f>
        <v/>
      </c>
      <c r="AF29" s="200">
        <f>IF(OR($Z29="",$N29=""),0,$Z29*5%)</f>
        <v/>
      </c>
      <c r="AG29" s="200">
        <f>IF(OR($Z29="",$O29=""),0,$Z29*10%)</f>
        <v/>
      </c>
      <c r="AH29" s="200">
        <f>IF($Z29="",0,IF(AND($P29="",$Q29=""),($Z29-$AE29-$AF29-$AG29-$AJ29-$AK29-$AL29-$AM29-$AN29),IF($P29="",0,IF($Q29="",($Z29-$AE29-$AF29-$AG29-$AJ29-$AK29-$AL29-$AM29-$AN29),($Z29-$AE29-$AF29-$AG29-$AJ29-$AK29-$AL29-$AM29-$AN29)*40%/(40%+15%)))))</f>
        <v/>
      </c>
      <c r="AI29" s="200">
        <f>IF($Z29="",0,IF(AND($P29="",$Q29=""),0,IF($Q29="",0,IF($P29="",($Z29-$AE29-$AF29-$AG29-$AJ29-$AK29-$AL29-$AM29-$AN29),($Z29-$AE29-$AF29-$AG29-$AJ29-$AK29-$AL29-$AM29-$AN29)*15%/(40%+15%)))))</f>
        <v/>
      </c>
      <c r="AJ29" s="282">
        <f>IF($Z29="",0,$Z29*15%)</f>
        <v/>
      </c>
      <c r="AK29" s="200">
        <f>IF($Z29="",0,IF($R29="",0,$R29))</f>
        <v/>
      </c>
      <c r="AL29" s="200">
        <f>IF(OR($Z29="",$S29=""),0,$Z29*5%)</f>
        <v/>
      </c>
      <c r="AM29" s="200">
        <f>IF(OR($Z29="",$T29=""),0,$Z29*10%)</f>
        <v/>
      </c>
      <c r="AN29" s="200">
        <f>IF($Z29="",0,IF($U29="",0,$U29))</f>
        <v/>
      </c>
      <c r="AO29" s="56">
        <f>SUM(AE29:AM29)</f>
        <v/>
      </c>
    </row>
    <row r="30" ht="15" customHeight="1" s="300">
      <c r="A30" s="1" t="n">
        <v>30</v>
      </c>
      <c r="B30" s="290" t="n"/>
      <c r="C30" s="288" t="n"/>
      <c r="D30" s="64" t="inlineStr">
        <is>
          <t>ADE for Enterprise Connectors IT Data (Discussion Required)</t>
        </is>
      </c>
      <c r="E30" s="64" t="n"/>
      <c r="F30" s="1" t="inlineStr">
        <is>
          <t>RnD</t>
        </is>
      </c>
      <c r="G30" s="1" t="n"/>
      <c r="H30" s="24" t="n"/>
      <c r="I30" s="24" t="n"/>
      <c r="J30" s="24" t="n"/>
      <c r="K30" s="24" t="n"/>
      <c r="L30" s="24" t="inlineStr">
        <is>
          <t>UnPlan</t>
        </is>
      </c>
      <c r="M30" s="24" t="n"/>
      <c r="N30" s="24" t="n"/>
      <c r="O30" s="24" t="n"/>
      <c r="P30" s="24" t="n"/>
      <c r="Q30" s="24" t="n"/>
      <c r="R30" s="24" t="n"/>
      <c r="S30" s="24" t="n"/>
      <c r="T30" s="24" t="n"/>
      <c r="U30" s="24" t="n"/>
      <c r="V30" s="45">
        <f>SUM(M30:U30)</f>
        <v/>
      </c>
      <c r="W30" s="170">
        <f>V30 - (V30 * (SUBSTITUTE(SUBSTITUTE($W$2, "Optimistic (", ""), "%)", "") / 100))</f>
        <v/>
      </c>
      <c r="X30" s="170">
        <f>V30 + (W30 * (SUBSTITUTE(SUBSTITUTE($W$2, "Optimistic (", ""), "%)", "") / 100))</f>
        <v/>
      </c>
      <c r="Y30" s="175">
        <f>(W30+(4*V30)+X30)/6</f>
        <v/>
      </c>
      <c r="Z30" s="201">
        <f>Y30/2</f>
        <v/>
      </c>
      <c r="AA30" s="179" t="n"/>
      <c r="AB30" s="179" t="n"/>
      <c r="AC30" s="179" t="n"/>
      <c r="AD30" s="179" t="n"/>
      <c r="AE30" s="200">
        <f>IF($Z30="",0,IF($M30="",0,$M30))</f>
        <v/>
      </c>
      <c r="AF30" s="200">
        <f>IF(OR($Z30="",$N30=""),0,$Z30*5%)</f>
        <v/>
      </c>
      <c r="AG30" s="200">
        <f>IF(OR($Z30="",$O30=""),0,$Z30*10%)</f>
        <v/>
      </c>
      <c r="AH30" s="200">
        <f>IF($Z30="",0,IF(AND($P30="",$Q30=""),($Z30-$AE30-$AF30-$AG30-$AJ30-$AK30-$AL30-$AM30-$AN30),IF($P30="",0,IF($Q30="",($Z30-$AE30-$AF30-$AG30-$AJ30-$AK30-$AL30-$AM30-$AN30),($Z30-$AE30-$AF30-$AG30-$AJ30-$AK30-$AL30-$AM30-$AN30)*40%/(40%+15%)))))</f>
        <v/>
      </c>
      <c r="AI30" s="200">
        <f>IF($Z30="",0,IF(AND($P30="",$Q30=""),0,IF($Q30="",0,IF($P30="",($Z30-$AE30-$AF30-$AG30-$AJ30-$AK30-$AL30-$AM30-$AN30),($Z30-$AE30-$AF30-$AG30-$AJ30-$AK30-$AL30-$AM30-$AN30)*15%/(40%+15%)))))</f>
        <v/>
      </c>
      <c r="AJ30" s="282">
        <f>IF($Z30="",0,$Z30*15%)</f>
        <v/>
      </c>
      <c r="AK30" s="200">
        <f>IF($Z30="",0,IF($R30="",0,$R30))</f>
        <v/>
      </c>
      <c r="AL30" s="200">
        <f>IF(OR($Z30="",$S30=""),0,$Z30*5%)</f>
        <v/>
      </c>
      <c r="AM30" s="200">
        <f>IF(OR($Z30="",$T30=""),0,$Z30*10%)</f>
        <v/>
      </c>
      <c r="AN30" s="200">
        <f>IF($Z30="",0,IF($U30="",0,$U30))</f>
        <v/>
      </c>
      <c r="AO30" s="56">
        <f>SUM(AE30:AM30)</f>
        <v/>
      </c>
    </row>
    <row r="31" ht="60.75" customHeight="1" s="300">
      <c r="A31" s="1" t="n">
        <v>31</v>
      </c>
      <c r="B31" s="290" t="n"/>
      <c r="C31" s="301" t="inlineStr">
        <is>
          <t>Alarm</t>
        </is>
      </c>
      <c r="D31" s="50" t="inlineStr">
        <is>
          <t>Alarms for Batch IT Data</t>
        </is>
      </c>
      <c r="E31" s="253" t="inlineStr">
        <is>
          <t xml:space="preserve">https://octopusdtlsupport.atlassian.net/browse/O2-2277 </t>
        </is>
      </c>
      <c r="F31" s="1" t="inlineStr">
        <is>
          <t>RnD</t>
        </is>
      </c>
      <c r="G31" s="1" t="n"/>
      <c r="H31" s="24" t="n">
        <v>1</v>
      </c>
      <c r="I31" s="24" t="n"/>
      <c r="J31" s="24" t="n"/>
      <c r="K31" s="24" t="n">
        <v>3</v>
      </c>
      <c r="L31" s="24" t="inlineStr">
        <is>
          <t>UnPlan</t>
        </is>
      </c>
      <c r="M31" s="24" t="n"/>
      <c r="N31" s="24" t="n"/>
      <c r="O31" s="24" t="n">
        <v>3</v>
      </c>
      <c r="P31" s="24">
        <f>(21+3)</f>
        <v/>
      </c>
      <c r="Q31" s="24" t="n">
        <v>5</v>
      </c>
      <c r="R31" s="24" t="n"/>
      <c r="S31" s="24" t="n">
        <v>1</v>
      </c>
      <c r="T31" s="24" t="n">
        <v>5</v>
      </c>
      <c r="U31" s="24" t="n"/>
      <c r="V31" s="45">
        <f>SUM(M31:U31)</f>
        <v/>
      </c>
      <c r="W31" s="170">
        <f>V31 - (V31 * (SUBSTITUTE(SUBSTITUTE($W$2, "Optimistic (", ""), "%)", "") / 100))</f>
        <v/>
      </c>
      <c r="X31" s="170">
        <f>V31 + (W31 * (SUBSTITUTE(SUBSTITUTE($W$2, "Optimistic (", ""), "%)", "") / 100))</f>
        <v/>
      </c>
      <c r="Y31" s="175">
        <f>(W31+(4*V31)+X31)/6</f>
        <v/>
      </c>
      <c r="Z31" s="201">
        <f>Y31/2</f>
        <v/>
      </c>
      <c r="AA31" s="179" t="n">
        <v>46121</v>
      </c>
      <c r="AB31" s="179" t="n">
        <v>46134</v>
      </c>
      <c r="AC31" s="179" t="n">
        <v>46135</v>
      </c>
      <c r="AD31" s="223" t="n">
        <v>46142</v>
      </c>
      <c r="AE31" s="200">
        <f>IF($Z31="",0,IF($M31="",0,$M31))</f>
        <v/>
      </c>
      <c r="AF31" s="200">
        <f>IF(OR($Z31="",$N31=""),0,$Z31*5%)</f>
        <v/>
      </c>
      <c r="AG31" s="200">
        <f>IF(OR($Z31="",$O31=""),0,$Z31*10%)</f>
        <v/>
      </c>
      <c r="AH31" s="200">
        <f>IF($Z31="",0,IF(AND($P31="",$Q31=""),($Z31-$AE31-$AF31-$AG31-$AJ31-$AK31-$AL31-$AM31-$AN31),IF($P31="",0,IF($Q31="",($Z31-$AE31-$AF31-$AG31-$AJ31-$AK31-$AL31-$AM31-$AN31),($Z31-$AE31-$AF31-$AG31-$AJ31-$AK31-$AL31-$AM31-$AN31)*40%/(40%+15%)))))</f>
        <v/>
      </c>
      <c r="AI31" s="200">
        <f>IF($Z31="",0,IF(AND($P31="",$Q31=""),0,IF($Q31="",0,IF($P31="",($Z31-$AE31-$AF31-$AG31-$AJ31-$AK31-$AL31-$AM31-$AN31),($Z31-$AE31-$AF31-$AG31-$AJ31-$AK31-$AL31-$AM31-$AN31)*15%/(40%+15%)))))</f>
        <v/>
      </c>
      <c r="AJ31" s="282">
        <f>IF($Z31="",0,$Z31*15%)</f>
        <v/>
      </c>
      <c r="AK31" s="200">
        <f>IF($Z31="",0,IF($R31="",0,$R31))</f>
        <v/>
      </c>
      <c r="AL31" s="200">
        <f>IF(OR($Z31="",$S31=""),0,$Z31*5%)</f>
        <v/>
      </c>
      <c r="AM31" s="200">
        <f>IF(OR($Z31="",$T31=""),0,$Z31*10%)</f>
        <v/>
      </c>
      <c r="AN31" s="200">
        <f>IF($Z31="",0,IF($U31="",0,$U31))</f>
        <v/>
      </c>
      <c r="AO31" s="56">
        <f>SUM(AE31:AM31)</f>
        <v/>
      </c>
    </row>
    <row r="32" ht="60.75" customHeight="1" s="300">
      <c r="A32" s="1" t="n"/>
      <c r="B32" s="290" t="n"/>
      <c r="C32" s="290" t="n"/>
      <c r="D32" s="50" t="inlineStr">
        <is>
          <t>Alarms for BPM IT Data</t>
        </is>
      </c>
      <c r="E32" s="253" t="inlineStr">
        <is>
          <t>https://octopusdtlsupport.atlassian.net/browse/O2-2278</t>
        </is>
      </c>
      <c r="F32" s="1" t="inlineStr">
        <is>
          <t>RnD</t>
        </is>
      </c>
      <c r="G32" s="1" t="n"/>
      <c r="H32" s="24" t="n">
        <v>1</v>
      </c>
      <c r="I32" s="24" t="n"/>
      <c r="J32" s="24" t="n"/>
      <c r="K32" s="24" t="n">
        <v>3</v>
      </c>
      <c r="L32" s="24" t="inlineStr">
        <is>
          <t>UnPlan</t>
        </is>
      </c>
      <c r="M32" s="24" t="n"/>
      <c r="N32" s="24" t="n"/>
      <c r="O32" s="24" t="n">
        <v>6</v>
      </c>
      <c r="P32" s="24">
        <f>(21+6)</f>
        <v/>
      </c>
      <c r="Q32" s="24" t="n">
        <v>5</v>
      </c>
      <c r="R32" s="24" t="n"/>
      <c r="S32" s="24" t="n">
        <v>1</v>
      </c>
      <c r="T32" s="24" t="n">
        <v>5</v>
      </c>
      <c r="U32" s="24" t="n"/>
      <c r="V32" s="45">
        <f>SUM(M32:U32)</f>
        <v/>
      </c>
      <c r="W32" s="170">
        <f>V32 - (V32 * (SUBSTITUTE(SUBSTITUTE($W$2, "Optimistic (", ""), "%)", "") / 100))</f>
        <v/>
      </c>
      <c r="X32" s="170">
        <f>V32 + (W32 * (SUBSTITUTE(SUBSTITUTE($W$2, "Optimistic (", ""), "%)", "") / 100))</f>
        <v/>
      </c>
      <c r="Y32" s="175">
        <f>(W32+(4*V32)+X32)/6</f>
        <v/>
      </c>
      <c r="Z32" s="201">
        <f>Y32/2</f>
        <v/>
      </c>
      <c r="AA32" s="179" t="n">
        <v>46146</v>
      </c>
      <c r="AB32" s="179" t="n">
        <v>46167</v>
      </c>
      <c r="AC32" s="179" t="n">
        <v>46168</v>
      </c>
      <c r="AD32" s="179" t="n">
        <v>46175</v>
      </c>
      <c r="AE32" s="200">
        <f>IF($Z32="",0,IF($M32="",0,$M32))</f>
        <v/>
      </c>
      <c r="AF32" s="200">
        <f>IF(OR($Z32="",$N32=""),0,$Z32*5%)</f>
        <v/>
      </c>
      <c r="AG32" s="200">
        <f>IF(OR($Z32="",$O32=""),0,$Z32*10%)</f>
        <v/>
      </c>
      <c r="AH32" s="200">
        <f>IF($Z32="",0,IF(AND($P32="",$Q32=""),($Z32-$AE32-$AF32-$AG32-$AJ32-$AK32-$AL32-$AM32-$AN32),IF($P32="",0,IF($Q32="",($Z32-$AE32-$AF32-$AG32-$AJ32-$AK32-$AL32-$AM32-$AN32),($Z32-$AE32-$AF32-$AG32-$AJ32-$AK32-$AL32-$AM32-$AN32)*40%/(40%+15%)))))</f>
        <v/>
      </c>
      <c r="AI32" s="200">
        <f>IF($Z32="",0,IF(AND($P32="",$Q32=""),0,IF($Q32="",0,IF($P32="",($Z32-$AE32-$AF32-$AG32-$AJ32-$AK32-$AL32-$AM32-$AN32),($Z32-$AE32-$AF32-$AG32-$AJ32-$AK32-$AL32-$AM32-$AN32)*15%/(40%+15%)))))</f>
        <v/>
      </c>
      <c r="AJ32" s="282">
        <f>IF($Z32="",0,$Z32*15%)</f>
        <v/>
      </c>
      <c r="AK32" s="200">
        <f>IF($Z32="",0,IF($R32="",0,$R32))</f>
        <v/>
      </c>
      <c r="AL32" s="200">
        <f>IF(OR($Z32="",$S32=""),0,$Z32*5%)</f>
        <v/>
      </c>
      <c r="AM32" s="200">
        <f>IF(OR($Z32="",$T32=""),0,$Z32*10%)</f>
        <v/>
      </c>
      <c r="AN32" s="200">
        <f>IF($Z32="",0,IF($U32="",0,$U32))</f>
        <v/>
      </c>
      <c r="AO32" s="56">
        <f>SUM(AE32:AM32)</f>
        <v/>
      </c>
    </row>
    <row r="33" ht="15" customHeight="1" s="300">
      <c r="A33" s="1" t="n">
        <v>32</v>
      </c>
      <c r="B33" s="290" t="n"/>
      <c r="C33" s="290" t="n"/>
      <c r="D33" s="50" t="inlineStr">
        <is>
          <t>Alarms for Enterprise Connectors IT Data SQL</t>
        </is>
      </c>
      <c r="E33" s="231" t="inlineStr">
        <is>
          <t>https://octopusdtlsupport.atlassian.net/browse/O2-2279</t>
        </is>
      </c>
      <c r="F33" s="1" t="inlineStr">
        <is>
          <t>RnD</t>
        </is>
      </c>
      <c r="G33" s="1" t="n"/>
      <c r="H33" s="24" t="n"/>
      <c r="I33" s="24" t="n"/>
      <c r="J33" s="24" t="n"/>
      <c r="K33" s="24" t="n"/>
      <c r="L33" s="24" t="inlineStr">
        <is>
          <t>UnPlan</t>
        </is>
      </c>
      <c r="M33" s="24" t="n"/>
      <c r="N33" s="24" t="n"/>
      <c r="O33" s="24" t="n">
        <v>3</v>
      </c>
      <c r="P33" s="24">
        <f>(12+3)</f>
        <v/>
      </c>
      <c r="Q33" s="24" t="n">
        <v>5</v>
      </c>
      <c r="R33" s="24" t="n"/>
      <c r="S33" s="24" t="n"/>
      <c r="T33" s="24" t="n">
        <v>5</v>
      </c>
      <c r="U33" s="24" t="n"/>
      <c r="V33" s="45">
        <f>SUM(M33:U33)</f>
        <v/>
      </c>
      <c r="W33" s="170">
        <f>V33 - (V33 * (SUBSTITUTE(SUBSTITUTE($W$2, "Optimistic (", ""), "%)", "") / 100))</f>
        <v/>
      </c>
      <c r="X33" s="170">
        <f>V33 + (W33 * (SUBSTITUTE(SUBSTITUTE($W$2, "Optimistic (", ""), "%)", "") / 100))</f>
        <v/>
      </c>
      <c r="Y33" s="175">
        <f>(W33+(4*V33)+X33)/6</f>
        <v/>
      </c>
      <c r="Z33" s="201">
        <f>Y33/2</f>
        <v/>
      </c>
      <c r="AA33" s="179" t="n">
        <v>46169</v>
      </c>
      <c r="AB33" s="179" t="n">
        <v>46178</v>
      </c>
      <c r="AC33" s="179" t="n">
        <v>46181</v>
      </c>
      <c r="AD33" s="179" t="n">
        <v>46188</v>
      </c>
      <c r="AE33" s="200">
        <f>IF($Z33="",0,IF($M33="",0,$M33))</f>
        <v/>
      </c>
      <c r="AF33" s="200">
        <f>IF(OR($Z33="",$N33=""),0,$Z33*5%)</f>
        <v/>
      </c>
      <c r="AG33" s="200">
        <f>IF(OR($Z33="",$O33=""),0,$Z33*10%)</f>
        <v/>
      </c>
      <c r="AH33" s="200">
        <f>IF($Z33="",0,IF(AND($P33="",$Q33=""),($Z33-$AE33-$AF33-$AG33-$AJ33-$AK33-$AL33-$AM33-$AN33),IF($P33="",0,IF($Q33="",($Z33-$AE33-$AF33-$AG33-$AJ33-$AK33-$AL33-$AM33-$AN33),($Z33-$AE33-$AF33-$AG33-$AJ33-$AK33-$AL33-$AM33-$AN33)*40%/(40%+15%)))))</f>
        <v/>
      </c>
      <c r="AI33" s="200">
        <f>IF($Z33="",0,IF(AND($P33="",$Q33=""),0,IF($Q33="",0,IF($P33="",($Z33-$AE33-$AF33-$AG33-$AJ33-$AK33-$AL33-$AM33-$AN33),($Z33-$AE33-$AF33-$AG33-$AJ33-$AK33-$AL33-$AM33-$AN33)*15%/(40%+15%)))))</f>
        <v/>
      </c>
      <c r="AJ33" s="282">
        <f>IF($Z33="",0,$Z33*15%)</f>
        <v/>
      </c>
      <c r="AK33" s="200">
        <f>IF($Z33="",0,IF($R33="",0,$R33))</f>
        <v/>
      </c>
      <c r="AL33" s="200">
        <f>IF(OR($Z33="",$S33=""),0,$Z33*5%)</f>
        <v/>
      </c>
      <c r="AM33" s="200">
        <f>IF(OR($Z33="",$T33=""),0,$Z33*10%)</f>
        <v/>
      </c>
      <c r="AN33" s="200">
        <f>IF($Z33="",0,IF($U33="",0,$U33))</f>
        <v/>
      </c>
      <c r="AO33" s="56">
        <f>SUM(AE33:AM33)</f>
        <v/>
      </c>
    </row>
    <row r="34" ht="15" customHeight="1" s="300">
      <c r="A34" s="1" t="n">
        <v>33</v>
      </c>
      <c r="B34" s="290" t="n"/>
      <c r="C34" s="290" t="n"/>
      <c r="D34" s="50" t="inlineStr">
        <is>
          <t>Alarms for Enterprise Connectors IT Data Rest API</t>
        </is>
      </c>
      <c r="E34" s="231" t="inlineStr">
        <is>
          <t>https://octopusdtlsupport.atlassian.net/browse/O2-2280</t>
        </is>
      </c>
      <c r="F34" s="1" t="inlineStr">
        <is>
          <t>RnD</t>
        </is>
      </c>
      <c r="G34" s="1" t="n"/>
      <c r="H34" s="24" t="n"/>
      <c r="I34" s="24" t="n"/>
      <c r="J34" s="24" t="n"/>
      <c r="K34" s="24" t="n"/>
      <c r="L34" s="24" t="n"/>
      <c r="M34" s="24" t="n"/>
      <c r="N34" s="24" t="n"/>
      <c r="O34" s="24" t="n">
        <v>3</v>
      </c>
      <c r="P34" s="24">
        <f>(12+3)</f>
        <v/>
      </c>
      <c r="Q34" s="24" t="n">
        <v>5</v>
      </c>
      <c r="R34" s="24" t="n"/>
      <c r="S34" s="24" t="n"/>
      <c r="T34" s="24" t="n">
        <v>5</v>
      </c>
      <c r="U34" s="24" t="n"/>
      <c r="V34" s="45">
        <f>SUM(M34:U34)</f>
        <v/>
      </c>
      <c r="W34" s="170">
        <f>V34 - (V34 * (SUBSTITUTE(SUBSTITUTE($W$2, "Optimistic (", ""), "%)", "") / 100))</f>
        <v/>
      </c>
      <c r="X34" s="170">
        <f>V34 + (W34 * (SUBSTITUTE(SUBSTITUTE($W$2, "Optimistic (", ""), "%)", "") / 100))</f>
        <v/>
      </c>
      <c r="Y34" s="175">
        <f>(W34+(4*V34)+X34)/6</f>
        <v/>
      </c>
      <c r="Z34" s="201">
        <f>Y34/2</f>
        <v/>
      </c>
      <c r="AA34" s="179" t="n">
        <v>46182</v>
      </c>
      <c r="AB34" s="179" t="n">
        <v>46191</v>
      </c>
      <c r="AC34" s="179" t="n">
        <v>46192</v>
      </c>
      <c r="AD34" s="179" t="n">
        <v>46199</v>
      </c>
      <c r="AE34" s="200">
        <f>IF($Z34="",0,IF($M34="",0,$M34))</f>
        <v/>
      </c>
      <c r="AF34" s="200">
        <f>IF(OR($Z34="",$N34=""),0,$Z34*5%)</f>
        <v/>
      </c>
      <c r="AG34" s="200">
        <f>IF(OR($Z34="",$O34=""),0,$Z34*10%)</f>
        <v/>
      </c>
      <c r="AH34" s="200">
        <f>IF($Z34="",0,IF(AND($P34="",$Q34=""),($Z34-$AE34-$AF34-$AG34-$AJ34-$AK34-$AL34-$AM34-$AN34),IF($P34="",0,IF($Q34="",($Z34-$AE34-$AF34-$AG34-$AJ34-$AK34-$AL34-$AM34-$AN34),($Z34-$AE34-$AF34-$AG34-$AJ34-$AK34-$AL34-$AM34-$AN34)*40%/(40%+15%)))))</f>
        <v/>
      </c>
      <c r="AI34" s="200">
        <f>IF($Z34="",0,IF(AND($P34="",$Q34=""),0,IF($Q34="",0,IF($P34="",($Z34-$AE34-$AF34-$AG34-$AJ34-$AK34-$AL34-$AM34-$AN34),($Z34-$AE34-$AF34-$AG34-$AJ34-$AK34-$AL34-$AM34-$AN34)*15%/(40%+15%)))))</f>
        <v/>
      </c>
      <c r="AJ34" s="282">
        <f>IF($Z34="",0,$Z34*15%)</f>
        <v/>
      </c>
      <c r="AK34" s="200">
        <f>IF($Z34="",0,IF($R34="",0,$R34))</f>
        <v/>
      </c>
      <c r="AL34" s="200">
        <f>IF(OR($Z34="",$S34=""),0,$Z34*5%)</f>
        <v/>
      </c>
      <c r="AM34" s="200">
        <f>IF(OR($Z34="",$T34=""),0,$Z34*10%)</f>
        <v/>
      </c>
      <c r="AN34" s="200">
        <f>IF($Z34="",0,IF($U34="",0,$U34))</f>
        <v/>
      </c>
      <c r="AO34" s="56">
        <f>SUM(AE34:AM34)</f>
        <v/>
      </c>
    </row>
    <row r="35" ht="15" customHeight="1" s="300">
      <c r="A35" s="1" t="n">
        <v>34</v>
      </c>
      <c r="B35" s="290" t="n"/>
      <c r="C35" s="288" t="n"/>
      <c r="D35" s="50" t="inlineStr">
        <is>
          <t>Alarms for Enterprise Connectors IT Data SFTP</t>
        </is>
      </c>
      <c r="E35" s="231" t="inlineStr">
        <is>
          <t>https://octopusdtlsupport.atlassian.net/browse/O2-2296</t>
        </is>
      </c>
      <c r="F35" s="1" t="inlineStr">
        <is>
          <t>RnD</t>
        </is>
      </c>
      <c r="G35" s="1" t="n"/>
      <c r="H35" s="24" t="n"/>
      <c r="I35" s="24" t="n"/>
      <c r="J35" s="24" t="n"/>
      <c r="K35" s="24" t="n"/>
      <c r="L35" s="24" t="n"/>
      <c r="M35" s="24" t="n"/>
      <c r="N35" s="24" t="n"/>
      <c r="O35" s="24" t="n">
        <v>3</v>
      </c>
      <c r="P35" s="24">
        <f>(12+3)</f>
        <v/>
      </c>
      <c r="Q35" s="24" t="n">
        <v>5</v>
      </c>
      <c r="R35" s="24" t="n"/>
      <c r="S35" s="24" t="n"/>
      <c r="T35" s="24" t="n">
        <v>5</v>
      </c>
      <c r="U35" s="24" t="n"/>
      <c r="V35" s="45">
        <f>SUM(M35:U35)</f>
        <v/>
      </c>
      <c r="W35" s="170">
        <f>V35 - (V35 * (SUBSTITUTE(SUBSTITUTE($W$2, "Optimistic (", ""), "%)", "") / 100))</f>
        <v/>
      </c>
      <c r="X35" s="170">
        <f>V35 + (W35 * (SUBSTITUTE(SUBSTITUTE($W$2, "Optimistic (", ""), "%)", "") / 100))</f>
        <v/>
      </c>
      <c r="Y35" s="175">
        <f>(W35+(4*V35)+X35)/6</f>
        <v/>
      </c>
      <c r="Z35" s="201">
        <f>Y35/2</f>
        <v/>
      </c>
      <c r="AA35" s="179" t="n">
        <v>46195</v>
      </c>
      <c r="AB35" s="179" t="n">
        <v>46204</v>
      </c>
      <c r="AC35" s="179" t="n">
        <v>46205</v>
      </c>
      <c r="AD35" s="179" t="n">
        <v>46212</v>
      </c>
      <c r="AE35" s="200">
        <f>IF($Z35="",0,IF($M35="",0,$M35))</f>
        <v/>
      </c>
      <c r="AF35" s="200">
        <f>IF(OR($Z35="",$N35=""),0,$Z35*5%)</f>
        <v/>
      </c>
      <c r="AG35" s="200">
        <f>IF(OR($Z35="",$O35=""),0,$Z35*10%)</f>
        <v/>
      </c>
      <c r="AH35" s="200">
        <f>IF($Z35="",0,IF(AND($P35="",$Q35=""),($Z35-$AE35-$AF35-$AG35-$AJ35-$AK35-$AL35-$AM35-$AN35),IF($P35="",0,IF($Q35="",($Z35-$AE35-$AF35-$AG35-$AJ35-$AK35-$AL35-$AM35-$AN35),($Z35-$AE35-$AF35-$AG35-$AJ35-$AK35-$AL35-$AM35-$AN35)*40%/(40%+15%)))))</f>
        <v/>
      </c>
      <c r="AI35" s="200">
        <f>IF($Z35="",0,IF(AND($P35="",$Q35=""),0,IF($Q35="",0,IF($P35="",($Z35-$AE35-$AF35-$AG35-$AJ35-$AK35-$AL35-$AM35-$AN35),($Z35-$AE35-$AF35-$AG35-$AJ35-$AK35-$AL35-$AM35-$AN35)*15%/(40%+15%)))))</f>
        <v/>
      </c>
      <c r="AJ35" s="282">
        <f>IF($Z35="",0,$Z35*15%)</f>
        <v/>
      </c>
      <c r="AK35" s="200">
        <f>IF($Z35="",0,IF($R35="",0,$R35))</f>
        <v/>
      </c>
      <c r="AL35" s="200">
        <f>IF(OR($Z35="",$S35=""),0,$Z35*5%)</f>
        <v/>
      </c>
      <c r="AM35" s="200">
        <f>IF(OR($Z35="",$T35=""),0,$Z35*10%)</f>
        <v/>
      </c>
      <c r="AN35" s="200">
        <f>IF($Z35="",0,IF($U35="",0,$U35))</f>
        <v/>
      </c>
      <c r="AO35" s="56">
        <f>SUM(AE35:AM35)</f>
        <v/>
      </c>
    </row>
    <row r="36" ht="15" customHeight="1" s="300">
      <c r="A36" s="1" t="n">
        <v>35</v>
      </c>
      <c r="B36" s="290" t="n"/>
      <c r="C36" s="262" t="n"/>
      <c r="D36" s="50" t="inlineStr">
        <is>
          <t>Alarms for Enterprise Connectors IT Data SAP</t>
        </is>
      </c>
      <c r="E36" s="231" t="inlineStr">
        <is>
          <t>https://octopusdtlsupport.atlassian.net/browse/O2-2321</t>
        </is>
      </c>
      <c r="F36" s="1" t="inlineStr">
        <is>
          <t>RnD</t>
        </is>
      </c>
      <c r="G36" s="1" t="n"/>
      <c r="H36" s="24" t="n"/>
      <c r="I36" s="24" t="n"/>
      <c r="J36" s="24" t="n"/>
      <c r="K36" s="24" t="n"/>
      <c r="L36" s="24" t="n"/>
      <c r="M36" s="24" t="n"/>
      <c r="N36" s="24" t="n"/>
      <c r="O36" s="24" t="n">
        <v>3</v>
      </c>
      <c r="P36" s="24">
        <f>(12+3)</f>
        <v/>
      </c>
      <c r="Q36" s="24" t="n">
        <v>5</v>
      </c>
      <c r="R36" s="24" t="n"/>
      <c r="S36" s="24" t="n"/>
      <c r="T36" s="24" t="n">
        <v>5</v>
      </c>
      <c r="U36" s="24" t="n"/>
      <c r="V36" s="45">
        <f>SUM(M36:U36)</f>
        <v/>
      </c>
      <c r="W36" s="170">
        <f>V36 - (V36 * (SUBSTITUTE(SUBSTITUTE($W$2, "Optimistic (", ""), "%)", "") / 100))</f>
        <v/>
      </c>
      <c r="X36" s="170">
        <f>V36 + (W36 * (SUBSTITUTE(SUBSTITUTE($W$2, "Optimistic (", ""), "%)", "") / 100))</f>
        <v/>
      </c>
      <c r="Y36" s="175">
        <f>(W36+(4*V36)+X36)/6</f>
        <v/>
      </c>
      <c r="Z36" s="201">
        <f>Y36/2</f>
        <v/>
      </c>
      <c r="AA36" s="179" t="n">
        <v>46206</v>
      </c>
      <c r="AB36" s="179" t="n">
        <v>46217</v>
      </c>
      <c r="AC36" s="179" t="n">
        <v>46218</v>
      </c>
      <c r="AD36" s="179" t="n">
        <v>46225</v>
      </c>
      <c r="AE36" s="200">
        <f>IF($Z36="",0,IF($M36="",0,$M36))</f>
        <v/>
      </c>
      <c r="AF36" s="200">
        <f>IF(OR($Z36="",$N36=""),0,$Z36*5%)</f>
        <v/>
      </c>
      <c r="AG36" s="200">
        <f>IF(OR($Z36="",$O36=""),0,$Z36*10%)</f>
        <v/>
      </c>
      <c r="AH36" s="200">
        <f>IF($Z36="",0,IF(AND($P36="",$Q36=""),($Z36-$AE36-$AF36-$AG36-$AJ36-$AK36-$AL36-$AM36-$AN36),IF($P36="",0,IF($Q36="",($Z36-$AE36-$AF36-$AG36-$AJ36-$AK36-$AL36-$AM36-$AN36),($Z36-$AE36-$AF36-$AG36-$AJ36-$AK36-$AL36-$AM36-$AN36)*40%/(40%+15%)))))</f>
        <v/>
      </c>
      <c r="AI36" s="200">
        <f>IF($Z36="",0,IF(AND($P36="",$Q36=""),0,IF($Q36="",0,IF($P36="",($Z36-$AE36-$AF36-$AG36-$AJ36-$AK36-$AL36-$AM36-$AN36),($Z36-$AE36-$AF36-$AG36-$AJ36-$AK36-$AL36-$AM36-$AN36)*15%/(40%+15%)))))</f>
        <v/>
      </c>
      <c r="AJ36" s="282">
        <f>IF($Z36="",0,$Z36*15%)</f>
        <v/>
      </c>
      <c r="AK36" s="200">
        <f>IF($Z36="",0,IF($R36="",0,$R36))</f>
        <v/>
      </c>
      <c r="AL36" s="200">
        <f>IF(OR($Z36="",$S36=""),0,$Z36*5%)</f>
        <v/>
      </c>
      <c r="AM36" s="200">
        <f>IF(OR($Z36="",$T36=""),0,$Z36*10%)</f>
        <v/>
      </c>
      <c r="AN36" s="200">
        <f>IF($Z36="",0,IF($U36="",0,$U36))</f>
        <v/>
      </c>
      <c r="AO36" s="56">
        <f>SUM(AE36:AM36)</f>
        <v/>
      </c>
    </row>
    <row r="37" ht="15" customHeight="1" s="300">
      <c r="A37" s="1" t="n">
        <v>36</v>
      </c>
      <c r="B37" s="290" t="n"/>
      <c r="C37" s="33" t="inlineStr">
        <is>
          <t>Diagnostics</t>
        </is>
      </c>
      <c r="D37" s="50" t="inlineStr">
        <is>
          <t>ML based Tier 4 Diagnostics (Landing Pattern based alerts)</t>
        </is>
      </c>
      <c r="E37" s="50" t="n"/>
      <c r="F37" s="1" t="inlineStr">
        <is>
          <t>RnD</t>
        </is>
      </c>
      <c r="G37" s="1" t="n"/>
      <c r="H37" s="24" t="n">
        <v>1</v>
      </c>
      <c r="I37" s="24" t="n"/>
      <c r="J37" s="24" t="n"/>
      <c r="K37" s="24" t="n"/>
      <c r="L37" s="24" t="inlineStr">
        <is>
          <t>UnPlan</t>
        </is>
      </c>
      <c r="M37" s="24" t="n"/>
      <c r="N37" s="24" t="n"/>
      <c r="O37" s="24" t="n"/>
      <c r="P37" s="24" t="n">
        <v>4</v>
      </c>
      <c r="Q37" s="24" t="n">
        <v>3</v>
      </c>
      <c r="R37" s="24" t="n"/>
      <c r="S37" s="24" t="n">
        <v>1</v>
      </c>
      <c r="T37" s="24" t="n"/>
      <c r="U37" s="24" t="n"/>
      <c r="V37" s="45">
        <f>SUM(M37:U37)</f>
        <v/>
      </c>
      <c r="W37" s="170">
        <f>V37 - (V37 * (SUBSTITUTE(SUBSTITUTE($W$2, "Optimistic (", ""), "%)", "") / 100))</f>
        <v/>
      </c>
      <c r="X37" s="170">
        <f>V37 + (W37 * (SUBSTITUTE(SUBSTITUTE($W$2, "Optimistic (", ""), "%)", "") / 100))</f>
        <v/>
      </c>
      <c r="Y37" s="175">
        <f>(W37+(4*V37)+X37)/6</f>
        <v/>
      </c>
      <c r="Z37" s="201">
        <f>Y37/2</f>
        <v/>
      </c>
      <c r="AA37" s="179" t="n"/>
      <c r="AB37" s="179" t="n"/>
      <c r="AC37" s="179" t="n"/>
      <c r="AD37" s="179" t="n"/>
      <c r="AE37" s="200">
        <f>IF($Z37="",0,IF($M37="",0,$M37))</f>
        <v/>
      </c>
      <c r="AF37" s="200">
        <f>IF(OR($Z37="",$N37=""),0,$Z37*5%)</f>
        <v/>
      </c>
      <c r="AG37" s="200">
        <f>IF(OR($Z37="",$O37=""),0,$Z37*10%)</f>
        <v/>
      </c>
      <c r="AH37" s="200">
        <f>IF($Z37="",0,IF(AND($P37="",$Q37=""),($Z37-$AE37-$AF37-$AG37-$AJ37-$AK37-$AL37-$AM37-$AN37),IF($P37="",0,IF($Q37="",($Z37-$AE37-$AF37-$AG37-$AJ37-$AK37-$AL37-$AM37-$AN37),($Z37-$AE37-$AF37-$AG37-$AJ37-$AK37-$AL37-$AM37-$AN37)*40%/(40%+15%)))))</f>
        <v/>
      </c>
      <c r="AI37" s="200">
        <f>IF($Z37="",0,IF(AND($P37="",$Q37=""),0,IF($Q37="",0,IF($P37="",($Z37-$AE37-$AF37-$AG37-$AJ37-$AK37-$AL37-$AM37-$AN37),($Z37-$AE37-$AF37-$AG37-$AJ37-$AK37-$AL37-$AM37-$AN37)*15%/(40%+15%)))))</f>
        <v/>
      </c>
      <c r="AJ37" s="282">
        <f>IF($Z37="",0,$Z37*15%)</f>
        <v/>
      </c>
      <c r="AK37" s="200">
        <f>IF($Z37="",0,IF($R37="",0,$R37))</f>
        <v/>
      </c>
      <c r="AL37" s="200">
        <f>IF(OR($Z37="",$S37=""),0,$Z37*5%)</f>
        <v/>
      </c>
      <c r="AM37" s="200">
        <f>IF(OR($Z37="",$T37=""),0,$Z37*10%)</f>
        <v/>
      </c>
      <c r="AN37" s="200">
        <f>IF($Z37="",0,IF($U37="",0,$U37))</f>
        <v/>
      </c>
      <c r="AO37" s="56">
        <f>SUM(AE37:AM37)</f>
        <v/>
      </c>
    </row>
    <row r="38" ht="30.75" customHeight="1" s="300">
      <c r="A38" s="1" t="n">
        <v>37</v>
      </c>
      <c r="B38" s="290" t="n"/>
      <c r="C38" s="292" t="inlineStr">
        <is>
          <t>OmniOEE</t>
        </is>
      </c>
      <c r="D38" s="50" t="inlineStr">
        <is>
          <t>OmniOEE Phase 1 - Batch/BPM Std Compute Module (Curated, Library-stored)</t>
        </is>
      </c>
      <c r="E38" s="50" t="n"/>
      <c r="F38" s="1" t="inlineStr">
        <is>
          <t>Management</t>
        </is>
      </c>
      <c r="G38" s="1" t="n"/>
      <c r="H38" s="24" t="n">
        <v>3</v>
      </c>
      <c r="I38" s="24" t="n"/>
      <c r="J38" s="24" t="n"/>
      <c r="K38" s="24" t="n">
        <v>1</v>
      </c>
      <c r="L38" s="24" t="inlineStr">
        <is>
          <t>UnPlan</t>
        </is>
      </c>
      <c r="M38" s="24" t="n"/>
      <c r="N38" s="24" t="n"/>
      <c r="O38" s="24" t="n"/>
      <c r="P38" s="24" t="n"/>
      <c r="Q38" s="24" t="n"/>
      <c r="R38" s="24" t="n"/>
      <c r="S38" s="24" t="n"/>
      <c r="T38" s="24" t="n"/>
      <c r="U38" s="24" t="n"/>
      <c r="V38" s="45">
        <f>SUM(M38:U38)</f>
        <v/>
      </c>
      <c r="W38" s="170">
        <f>V38 - (V38 * (SUBSTITUTE(SUBSTITUTE($W$2, "Optimistic (", ""), "%)", "") / 100))</f>
        <v/>
      </c>
      <c r="X38" s="170">
        <f>V38 + (W38 * (SUBSTITUTE(SUBSTITUTE($W$2, "Optimistic (", ""), "%)", "") / 100))</f>
        <v/>
      </c>
      <c r="Y38" s="175">
        <f>(W38+(4*V38)+X38)/6</f>
        <v/>
      </c>
      <c r="Z38" s="201">
        <f>Y38/2</f>
        <v/>
      </c>
      <c r="AA38" s="179" t="n"/>
      <c r="AB38" s="179" t="n"/>
      <c r="AC38" s="179" t="n"/>
      <c r="AD38" s="179" t="n"/>
      <c r="AE38" s="200">
        <f>IF($Z38="",0,IF($M38="",0,$M38))</f>
        <v/>
      </c>
      <c r="AF38" s="200">
        <f>IF(OR($Z38="",$N38=""),0,$Z38*5%)</f>
        <v/>
      </c>
      <c r="AG38" s="200">
        <f>IF(OR($Z38="",$O38=""),0,$Z38*10%)</f>
        <v/>
      </c>
      <c r="AH38" s="200">
        <f>IF($Z38="",0,IF(AND($P38="",$Q38=""),($Z38-$AE38-$AF38-$AG38-$AJ38-$AK38-$AL38-$AM38-$AN38),IF($P38="",0,IF($Q38="",($Z38-$AE38-$AF38-$AG38-$AJ38-$AK38-$AL38-$AM38-$AN38),($Z38-$AE38-$AF38-$AG38-$AJ38-$AK38-$AL38-$AM38-$AN38)*40%/(40%+15%)))))</f>
        <v/>
      </c>
      <c r="AI38" s="200">
        <f>IF($Z38="",0,IF(AND($P38="",$Q38=""),0,IF($Q38="",0,IF($P38="",($Z38-$AE38-$AF38-$AG38-$AJ38-$AK38-$AL38-$AM38-$AN38),($Z38-$AE38-$AF38-$AG38-$AJ38-$AK38-$AL38-$AM38-$AN38)*15%/(40%+15%)))))</f>
        <v/>
      </c>
      <c r="AJ38" s="282">
        <f>IF($Z38="",0,$Z38*15%)</f>
        <v/>
      </c>
      <c r="AK38" s="200">
        <f>IF($Z38="",0,IF($R38="",0,$R38))</f>
        <v/>
      </c>
      <c r="AL38" s="200">
        <f>IF(OR($Z38="",$S38=""),0,$Z38*5%)</f>
        <v/>
      </c>
      <c r="AM38" s="200">
        <f>IF(OR($Z38="",$T38=""),0,$Z38*10%)</f>
        <v/>
      </c>
      <c r="AN38" s="200">
        <f>IF($Z38="",0,IF($U38="",0,$U38))</f>
        <v/>
      </c>
      <c r="AO38" s="56">
        <f>SUM(AE38:AM38)</f>
        <v/>
      </c>
      <c r="AP38" t="inlineStr">
        <is>
          <t>Need to understand it. Also we should be able to document this and do it as project</t>
        </is>
      </c>
    </row>
    <row r="39" ht="30.75" customHeight="1" s="300">
      <c r="A39" s="1" t="n">
        <v>38</v>
      </c>
      <c r="B39" s="290" t="n"/>
      <c r="C39" s="288" t="n"/>
      <c r="D39" s="50" t="inlineStr">
        <is>
          <t>OmniOEE Phase 2 – Full OEE System (Production Planning, Configuration, Data, Visualizations)</t>
        </is>
      </c>
      <c r="E39" s="50" t="n"/>
      <c r="F39" s="1" t="inlineStr">
        <is>
          <t>Management</t>
        </is>
      </c>
      <c r="G39" s="1" t="n"/>
      <c r="H39" s="24" t="n">
        <v>3</v>
      </c>
      <c r="I39" s="24" t="n"/>
      <c r="J39" s="24" t="n"/>
      <c r="K39" s="24" t="n">
        <v>2</v>
      </c>
      <c r="L39" s="24" t="inlineStr">
        <is>
          <t>UnPlan</t>
        </is>
      </c>
      <c r="M39" s="24" t="n"/>
      <c r="N39" s="24" t="n"/>
      <c r="O39" s="24" t="n"/>
      <c r="P39" s="24" t="n"/>
      <c r="Q39" s="24" t="n"/>
      <c r="R39" s="24" t="n"/>
      <c r="S39" s="24" t="n"/>
      <c r="T39" s="24" t="n"/>
      <c r="U39" s="24" t="n"/>
      <c r="V39" s="45" t="n"/>
      <c r="W39" s="170">
        <f>V39 - (V39 * (SUBSTITUTE(SUBSTITUTE($W$2, "Optimistic (", ""), "%)", "") / 100))</f>
        <v/>
      </c>
      <c r="X39" s="170">
        <f>V39 + (W39 * (SUBSTITUTE(SUBSTITUTE($W$2, "Optimistic (", ""), "%)", "") / 100))</f>
        <v/>
      </c>
      <c r="Y39" s="175">
        <f>(W39+(4*V39)+X39)/6</f>
        <v/>
      </c>
      <c r="Z39" s="201">
        <f>Y39/2</f>
        <v/>
      </c>
      <c r="AA39" s="179" t="n"/>
      <c r="AB39" s="179" t="n"/>
      <c r="AC39" s="179" t="n"/>
      <c r="AD39" s="179" t="n"/>
      <c r="AE39" s="200">
        <f>IF($Z39="",0,IF($M39="",0,$M39))</f>
        <v/>
      </c>
      <c r="AF39" s="200">
        <f>IF(OR($Z39="",$N39=""),0,$Z39*5%)</f>
        <v/>
      </c>
      <c r="AG39" s="200">
        <f>IF(OR($Z39="",$O39=""),0,$Z39*10%)</f>
        <v/>
      </c>
      <c r="AH39" s="200">
        <f>IF($Z39="",0,IF(AND($P39="",$Q39=""),($Z39-$AE39-$AF39-$AG39-$AJ39-$AK39-$AL39-$AM39-$AN39),IF($P39="",0,IF($Q39="",($Z39-$AE39-$AF39-$AG39-$AJ39-$AK39-$AL39-$AM39-$AN39),($Z39-$AE39-$AF39-$AG39-$AJ39-$AK39-$AL39-$AM39-$AN39)*40%/(40%+15%)))))</f>
        <v/>
      </c>
      <c r="AI39" s="200">
        <f>IF($Z39="",0,IF(AND($P39="",$Q39=""),0,IF($Q39="",0,IF($P39="",($Z39-$AE39-$AF39-$AG39-$AJ39-$AK39-$AL39-$AM39-$AN39),($Z39-$AE39-$AF39-$AG39-$AJ39-$AK39-$AL39-$AM39-$AN39)*15%/(40%+15%)))))</f>
        <v/>
      </c>
      <c r="AJ39" s="282">
        <f>IF($Z39="",0,$Z39*15%)</f>
        <v/>
      </c>
      <c r="AK39" s="200">
        <f>IF($Z39="",0,IF($R39="",0,$R39))</f>
        <v/>
      </c>
      <c r="AL39" s="200">
        <f>IF(OR($Z39="",$S39=""),0,$Z39*5%)</f>
        <v/>
      </c>
      <c r="AM39" s="200">
        <f>IF(OR($Z39="",$T39=""),0,$Z39*10%)</f>
        <v/>
      </c>
      <c r="AN39" s="200">
        <f>IF($Z39="",0,IF($U39="",0,$U39))</f>
        <v/>
      </c>
      <c r="AO39" s="56">
        <f>SUM(AE39:AM39)</f>
        <v/>
      </c>
    </row>
    <row r="40" ht="15" customHeight="1" s="300">
      <c r="A40" s="1" t="n">
        <v>39</v>
      </c>
      <c r="B40" s="290" t="n"/>
      <c r="C40" s="261" t="inlineStr">
        <is>
          <t>OmniALA</t>
        </is>
      </c>
      <c r="D40" s="64" t="inlineStr">
        <is>
          <t>Aux Load Advisor</t>
        </is>
      </c>
      <c r="E40" s="64" t="n"/>
      <c r="F40" s="1" t="inlineStr">
        <is>
          <t>Management</t>
        </is>
      </c>
      <c r="G40" s="1" t="n"/>
      <c r="H40" s="24" t="n">
        <v>3</v>
      </c>
      <c r="I40" s="24" t="n"/>
      <c r="J40" s="24" t="n"/>
      <c r="K40" s="24" t="n">
        <v>1</v>
      </c>
      <c r="L40" s="24" t="inlineStr">
        <is>
          <t>UnPlan</t>
        </is>
      </c>
      <c r="M40" s="24" t="n"/>
      <c r="N40" s="24" t="n"/>
      <c r="O40" s="24" t="n">
        <v>10</v>
      </c>
      <c r="P40" s="24" t="n"/>
      <c r="Q40" s="24" t="n"/>
      <c r="R40" s="24" t="n"/>
      <c r="S40" s="24" t="n"/>
      <c r="T40" s="24" t="n"/>
      <c r="U40" s="24" t="n"/>
      <c r="V40" s="45">
        <f>SUM(M40:U40)</f>
        <v/>
      </c>
      <c r="W40" s="170">
        <f>V40 - (V40 * (SUBSTITUTE(SUBSTITUTE($W$2, "Optimistic (", ""), "%)", "") / 100))</f>
        <v/>
      </c>
      <c r="X40" s="170">
        <f>V40 + (W40 * (SUBSTITUTE(SUBSTITUTE($W$2, "Optimistic (", ""), "%)", "") / 100))</f>
        <v/>
      </c>
      <c r="Y40" s="175">
        <f>(W40+(4*V40)+X40)/6</f>
        <v/>
      </c>
      <c r="Z40" s="201">
        <f>Y40/2</f>
        <v/>
      </c>
      <c r="AA40" s="179" t="n"/>
      <c r="AB40" s="179" t="n"/>
      <c r="AC40" s="179" t="n"/>
      <c r="AD40" s="179" t="n"/>
      <c r="AE40" s="200">
        <f>IF($Z40="",0,IF($M40="",0,$M40))</f>
        <v/>
      </c>
      <c r="AF40" s="200">
        <f>IF(OR($Z40="",$N40=""),0,$Z40*5%)</f>
        <v/>
      </c>
      <c r="AG40" s="200">
        <f>IF(OR($Z40="",$O40=""),0,$Z40*10%)</f>
        <v/>
      </c>
      <c r="AH40" s="200">
        <f>IF($Z40="",0,IF(AND($P40="",$Q40=""),($Z40-$AE40-$AF40-$AG40-$AJ40-$AK40-$AL40-$AM40-$AN40),IF($P40="",0,IF($Q40="",($Z40-$AE40-$AF40-$AG40-$AJ40-$AK40-$AL40-$AM40-$AN40),($Z40-$AE40-$AF40-$AG40-$AJ40-$AK40-$AL40-$AM40-$AN40)*40%/(40%+15%)))))</f>
        <v/>
      </c>
      <c r="AI40" s="200">
        <f>IF($Z40="",0,IF(AND($P40="",$Q40=""),0,IF($Q40="",0,IF($P40="",($Z40-$AE40-$AF40-$AG40-$AJ40-$AK40-$AL40-$AM40-$AN40),($Z40-$AE40-$AF40-$AG40-$AJ40-$AK40-$AL40-$AM40-$AN40)*15%/(40%+15%)))))</f>
        <v/>
      </c>
      <c r="AJ40" s="282">
        <f>IF($Z40="",0,$Z40*15%)</f>
        <v/>
      </c>
      <c r="AK40" s="200">
        <f>IF($Z40="",0,IF($R40="",0,$R40))</f>
        <v/>
      </c>
      <c r="AL40" s="200">
        <f>IF(OR($Z40="",$S40=""),0,$Z40*5%)</f>
        <v/>
      </c>
      <c r="AM40" s="200">
        <f>IF(OR($Z40="",$T40=""),0,$Z40*10%)</f>
        <v/>
      </c>
      <c r="AN40" s="200">
        <f>IF($Z40="",0,IF($U40="",0,$U40))</f>
        <v/>
      </c>
      <c r="AO40" s="56">
        <f>SUM(AE40:AM40)</f>
        <v/>
      </c>
      <c r="AP40" t="inlineStr">
        <is>
          <t>Document and make it sound as a product till we get an order</t>
        </is>
      </c>
    </row>
    <row r="41" ht="15" customHeight="1" s="300">
      <c r="A41" s="1" t="n">
        <v>40</v>
      </c>
      <c r="B41" s="290" t="n"/>
      <c r="C41" s="289" t="inlineStr">
        <is>
          <t>ML</t>
        </is>
      </c>
      <c r="D41" s="195" t="inlineStr">
        <is>
          <t>Pattern Recognition</t>
        </is>
      </c>
      <c r="E41" s="195" t="n"/>
      <c r="F41" s="1" t="inlineStr">
        <is>
          <t>RnD</t>
        </is>
      </c>
      <c r="G41" s="1" t="n"/>
      <c r="H41" s="24" t="n">
        <v>2</v>
      </c>
      <c r="I41" s="24" t="n"/>
      <c r="J41" s="24" t="n"/>
      <c r="K41" s="24" t="n">
        <v>1</v>
      </c>
      <c r="L41" s="24" t="inlineStr">
        <is>
          <t>UnPlan</t>
        </is>
      </c>
      <c r="M41" s="24" t="n"/>
      <c r="N41" s="24" t="n"/>
      <c r="O41" s="24" t="n">
        <v>2</v>
      </c>
      <c r="P41" s="24" t="n">
        <v>8</v>
      </c>
      <c r="Q41" s="24" t="n">
        <v>5</v>
      </c>
      <c r="R41" s="24" t="n"/>
      <c r="S41" s="24" t="n">
        <v>5</v>
      </c>
      <c r="T41" s="24" t="n"/>
      <c r="U41" s="24" t="n"/>
      <c r="V41" s="45">
        <f>SUM(M41:U41)</f>
        <v/>
      </c>
      <c r="W41" s="170">
        <f>V41 - (V41 * (SUBSTITUTE(SUBSTITUTE($W$2, "Optimistic (", ""), "%)", "") / 100))</f>
        <v/>
      </c>
      <c r="X41" s="170">
        <f>V41 + (W41 * (SUBSTITUTE(SUBSTITUTE($W$2, "Optimistic (", ""), "%)", "") / 100))</f>
        <v/>
      </c>
      <c r="Y41" s="175">
        <f>(W41+(4*V41)+X41)/6</f>
        <v/>
      </c>
      <c r="Z41" s="201">
        <f>Y41/2</f>
        <v/>
      </c>
      <c r="AA41" s="179" t="n"/>
      <c r="AB41" s="179" t="n"/>
      <c r="AC41" s="179" t="n"/>
      <c r="AD41" s="179" t="n"/>
      <c r="AE41" s="200">
        <f>IF($Z41="",0,IF($M41="",0,$M41))</f>
        <v/>
      </c>
      <c r="AF41" s="200">
        <f>IF(OR($Z41="",$N41=""),0,$Z41*5%)</f>
        <v/>
      </c>
      <c r="AG41" s="200">
        <f>IF(OR($Z41="",$O41=""),0,$Z41*10%)</f>
        <v/>
      </c>
      <c r="AH41" s="200">
        <f>IF($Z41="",0,IF(AND($P41="",$Q41=""),($Z41-$AE41-$AF41-$AG41-$AJ41-$AK41-$AL41-$AM41-$AN41),IF($P41="",0,IF($Q41="",($Z41-$AE41-$AF41-$AG41-$AJ41-$AK41-$AL41-$AM41-$AN41),($Z41-$AE41-$AF41-$AG41-$AJ41-$AK41-$AL41-$AM41-$AN41)*40%/(40%+15%)))))</f>
        <v/>
      </c>
      <c r="AI41" s="200">
        <f>IF($Z41="",0,IF(AND($P41="",$Q41=""),0,IF($Q41="",0,IF($P41="",($Z41-$AE41-$AF41-$AG41-$AJ41-$AK41-$AL41-$AM41-$AN41),($Z41-$AE41-$AF41-$AG41-$AJ41-$AK41-$AL41-$AM41-$AN41)*15%/(40%+15%)))))</f>
        <v/>
      </c>
      <c r="AJ41" s="282">
        <f>IF($Z41="",0,$Z41*15%)</f>
        <v/>
      </c>
      <c r="AK41" s="200">
        <f>IF($Z41="",0,IF($R41="",0,$R41))</f>
        <v/>
      </c>
      <c r="AL41" s="200">
        <f>IF(OR($Z41="",$S41=""),0,$Z41*5%)</f>
        <v/>
      </c>
      <c r="AM41" s="200">
        <f>IF(OR($Z41="",$T41=""),0,$Z41*10%)</f>
        <v/>
      </c>
      <c r="AN41" s="200">
        <f>IF($Z41="",0,IF($U41="",0,$U41))</f>
        <v/>
      </c>
      <c r="AO41" s="56">
        <f>SUM(AE41:AM41)</f>
        <v/>
      </c>
      <c r="AP41" t="inlineStr">
        <is>
          <t>This should be very easy to implement using AI coding assistance</t>
        </is>
      </c>
    </row>
    <row r="42" ht="15" customHeight="1" s="300">
      <c r="A42" s="1" t="n">
        <v>41</v>
      </c>
      <c r="B42" s="288" t="n"/>
      <c r="C42" s="288" t="n"/>
      <c r="D42" s="195" t="inlineStr">
        <is>
          <t>Forcasting</t>
        </is>
      </c>
      <c r="E42" s="195" t="n"/>
      <c r="F42" s="1" t="inlineStr">
        <is>
          <t>RnD</t>
        </is>
      </c>
      <c r="G42" s="1" t="n"/>
      <c r="H42" s="24" t="n">
        <v>2</v>
      </c>
      <c r="I42" s="24" t="n"/>
      <c r="J42" s="24" t="n"/>
      <c r="K42" s="24" t="n">
        <v>1</v>
      </c>
      <c r="L42" s="24" t="inlineStr">
        <is>
          <t>UnPlan</t>
        </is>
      </c>
      <c r="M42" s="24" t="n"/>
      <c r="N42" s="24" t="n"/>
      <c r="O42" s="24" t="n"/>
      <c r="P42" s="24" t="n"/>
      <c r="Q42" s="24" t="n"/>
      <c r="R42" s="24" t="n"/>
      <c r="S42" s="24" t="n"/>
      <c r="T42" s="24" t="n"/>
      <c r="U42" s="24" t="n"/>
      <c r="V42" s="45">
        <f>SUM(M42:U42)</f>
        <v/>
      </c>
      <c r="W42" s="170">
        <f>V42 - (V42 * (SUBSTITUTE(SUBSTITUTE($W$2, "Optimistic (", ""), "%)", "") / 100))</f>
        <v/>
      </c>
      <c r="X42" s="170">
        <f>V42 + (W42 * (SUBSTITUTE(SUBSTITUTE($W$2, "Optimistic (", ""), "%)", "") / 100))</f>
        <v/>
      </c>
      <c r="Y42" s="175">
        <f>(W42+(4*V42)+X42)/6</f>
        <v/>
      </c>
      <c r="Z42" s="201">
        <f>Y42/2</f>
        <v/>
      </c>
      <c r="AA42" s="179" t="n"/>
      <c r="AB42" s="179" t="n"/>
      <c r="AC42" s="179" t="n"/>
      <c r="AD42" s="179" t="n"/>
      <c r="AE42" s="200">
        <f>IF($Z42="",0,IF($M42="",0,$M42))</f>
        <v/>
      </c>
      <c r="AF42" s="200">
        <f>IF(OR($Z42="",$N42=""),0,$Z42*5%)</f>
        <v/>
      </c>
      <c r="AG42" s="200">
        <f>IF(OR($Z42="",$O42=""),0,$Z42*10%)</f>
        <v/>
      </c>
      <c r="AH42" s="200">
        <f>IF($Z42="",0,IF(AND($P42="",$Q42=""),($Z42-$AE42-$AF42-$AG42-$AJ42-$AK42-$AL42-$AM42-$AN42),IF($P42="",0,IF($Q42="",($Z42-$AE42-$AF42-$AG42-$AJ42-$AK42-$AL42-$AM42-$AN42),($Z42-$AE42-$AF42-$AG42-$AJ42-$AK42-$AL42-$AM42-$AN42)*40%/(40%+15%)))))</f>
        <v/>
      </c>
      <c r="AI42" s="200">
        <f>IF($Z42="",0,IF(AND($P42="",$Q42=""),0,IF($Q42="",0,IF($P42="",($Z42-$AE42-$AF42-$AG42-$AJ42-$AK42-$AL42-$AM42-$AN42),($Z42-$AE42-$AF42-$AG42-$AJ42-$AK42-$AL42-$AM42-$AN42)*15%/(40%+15%)))))</f>
        <v/>
      </c>
      <c r="AJ42" s="282">
        <f>IF($Z42="",0,$Z42*15%)</f>
        <v/>
      </c>
      <c r="AK42" s="200">
        <f>IF($Z42="",0,IF($R42="",0,$R42))</f>
        <v/>
      </c>
      <c r="AL42" s="200">
        <f>IF(OR($Z42="",$S42=""),0,$Z42*5%)</f>
        <v/>
      </c>
      <c r="AM42" s="200">
        <f>IF(OR($Z42="",$T42=""),0,$Z42*10%)</f>
        <v/>
      </c>
      <c r="AN42" s="200">
        <f>IF($Z42="",0,IF($U42="",0,$U42))</f>
        <v/>
      </c>
      <c r="AO42" s="56">
        <f>SUM(AE42:AM42)</f>
        <v/>
      </c>
      <c r="AP42" t="inlineStr">
        <is>
          <t>This should be very easy to implement using AI coding assistance</t>
        </is>
      </c>
    </row>
    <row r="43" ht="15" customHeight="1" s="300">
      <c r="A43" s="1" t="n">
        <v>42</v>
      </c>
      <c r="B43" s="291" t="inlineStr">
        <is>
          <t>Output</t>
        </is>
      </c>
      <c r="C43" s="287" t="inlineStr">
        <is>
          <t>OmniAgent</t>
        </is>
      </c>
      <c r="D43" s="50" t="inlineStr">
        <is>
          <t>Multi Agent Support</t>
        </is>
      </c>
      <c r="E43" s="50" t="n"/>
      <c r="F43" s="1" t="inlineStr">
        <is>
          <t>RnD</t>
        </is>
      </c>
      <c r="G43" s="1" t="n"/>
      <c r="H43" s="24" t="n"/>
      <c r="I43" s="24" t="n"/>
      <c r="J43" s="24" t="n"/>
      <c r="K43" s="24" t="n">
        <v>1</v>
      </c>
      <c r="L43" s="24" t="inlineStr">
        <is>
          <t>UnPlan</t>
        </is>
      </c>
      <c r="M43" s="24" t="n"/>
      <c r="N43" s="24" t="n"/>
      <c r="O43" s="24" t="n">
        <v>1</v>
      </c>
      <c r="P43" s="24" t="n">
        <v>2</v>
      </c>
      <c r="Q43" s="24" t="n">
        <v>2</v>
      </c>
      <c r="R43" s="24" t="n"/>
      <c r="S43" s="24" t="n">
        <v>1</v>
      </c>
      <c r="T43" s="24" t="n"/>
      <c r="U43" s="24" t="n"/>
      <c r="V43" s="45">
        <f>SUM(M43:U43)</f>
        <v/>
      </c>
      <c r="W43" s="170">
        <f>V43 - (V43 * (SUBSTITUTE(SUBSTITUTE($W$2, "Optimistic (", ""), "%)", "") / 100))</f>
        <v/>
      </c>
      <c r="X43" s="170">
        <f>V43 + (W43 * (SUBSTITUTE(SUBSTITUTE($W$2, "Optimistic (", ""), "%)", "") / 100))</f>
        <v/>
      </c>
      <c r="Y43" s="175">
        <f>(W43+(4*V43)+X43)/6</f>
        <v/>
      </c>
      <c r="Z43" s="201">
        <f>Y43/2</f>
        <v/>
      </c>
      <c r="AA43" s="179" t="n"/>
      <c r="AB43" s="179" t="n"/>
      <c r="AC43" s="179" t="n"/>
      <c r="AD43" s="179" t="n"/>
      <c r="AE43" s="200">
        <f>IF($Z43="",0,IF($M43="",0,$M43))</f>
        <v/>
      </c>
      <c r="AF43" s="200">
        <f>IF(OR($Z43="",$N43=""),0,$Z43*5%)</f>
        <v/>
      </c>
      <c r="AG43" s="200">
        <f>IF(OR($Z43="",$O43=""),0,$Z43*10%)</f>
        <v/>
      </c>
      <c r="AH43" s="200">
        <f>IF($Z43="",0,IF(AND($P43="",$Q43=""),($Z43-$AE43-$AF43-$AG43-$AJ43-$AK43-$AL43-$AM43-$AN43),IF($P43="",0,IF($Q43="",($Z43-$AE43-$AF43-$AG43-$AJ43-$AK43-$AL43-$AM43-$AN43),($Z43-$AE43-$AF43-$AG43-$AJ43-$AK43-$AL43-$AM43-$AN43)*40%/(40%+15%)))))</f>
        <v/>
      </c>
      <c r="AI43" s="200">
        <f>IF($Z43="",0,IF(AND($P43="",$Q43=""),0,IF($Q43="",0,IF($P43="",($Z43-$AE43-$AF43-$AG43-$AJ43-$AK43-$AL43-$AM43-$AN43),($Z43-$AE43-$AF43-$AG43-$AJ43-$AK43-$AL43-$AM43-$AN43)*15%/(40%+15%)))))</f>
        <v/>
      </c>
      <c r="AJ43" s="282">
        <f>IF($Z43="",0,$Z43*15%)</f>
        <v/>
      </c>
      <c r="AK43" s="200">
        <f>IF($Z43="",0,IF($R43="",0,$R43))</f>
        <v/>
      </c>
      <c r="AL43" s="200">
        <f>IF(OR($Z43="",$S43=""),0,$Z43*5%)</f>
        <v/>
      </c>
      <c r="AM43" s="200">
        <f>IF(OR($Z43="",$T43=""),0,$Z43*10%)</f>
        <v/>
      </c>
      <c r="AN43" s="200">
        <f>IF($Z43="",0,IF($U43="",0,$U43))</f>
        <v/>
      </c>
      <c r="AO43" s="56">
        <f>SUM(AE43:AM43)</f>
        <v/>
      </c>
      <c r="AP43" t="inlineStr">
        <is>
          <t>What is this?</t>
        </is>
      </c>
    </row>
    <row r="44" ht="15" customHeight="1" s="300">
      <c r="A44" s="1" t="n">
        <v>43</v>
      </c>
      <c r="B44" s="290" t="n"/>
      <c r="C44" s="288" t="n"/>
      <c r="D44" s="50" t="inlineStr">
        <is>
          <t xml:space="preserve">ADE to AutoPrompt to OmniAgent to RCA/Advice </t>
        </is>
      </c>
      <c r="E44" s="50" t="n"/>
      <c r="F44" s="1" t="inlineStr">
        <is>
          <t>Management</t>
        </is>
      </c>
      <c r="G44" s="1" t="n"/>
      <c r="H44" s="299" t="n">
        <v>1</v>
      </c>
      <c r="I44" s="24" t="n"/>
      <c r="J44" s="24" t="n"/>
      <c r="K44" s="24" t="inlineStr">
        <is>
          <t>1+</t>
        </is>
      </c>
      <c r="L44" s="24" t="inlineStr">
        <is>
          <t>UnPlan</t>
        </is>
      </c>
      <c r="M44" s="24" t="n"/>
      <c r="N44" s="24" t="n"/>
      <c r="O44" s="24" t="n"/>
      <c r="P44" s="24" t="n"/>
      <c r="Q44" s="24" t="n"/>
      <c r="R44" s="24" t="n"/>
      <c r="S44" s="24" t="n"/>
      <c r="T44" s="24" t="n"/>
      <c r="U44" s="24" t="n"/>
      <c r="V44" s="45">
        <f>SUM(M44:U44)</f>
        <v/>
      </c>
      <c r="W44" s="170">
        <f>V44 - (V44 * (SUBSTITUTE(SUBSTITUTE($W$2, "Optimistic (", ""), "%)", "") / 100))</f>
        <v/>
      </c>
      <c r="X44" s="170">
        <f>V44 + (W44 * (SUBSTITUTE(SUBSTITUTE($W$2, "Optimistic (", ""), "%)", "") / 100))</f>
        <v/>
      </c>
      <c r="Y44" s="175">
        <f>(W44+(4*V44)+X44)/6</f>
        <v/>
      </c>
      <c r="Z44" s="201">
        <f>Y44/2</f>
        <v/>
      </c>
      <c r="AA44" s="179" t="n"/>
      <c r="AB44" s="179" t="n"/>
      <c r="AC44" s="179" t="n"/>
      <c r="AD44" s="179" t="n"/>
      <c r="AE44" s="200">
        <f>IF($Z44="",0,IF($M44="",0,$M44))</f>
        <v/>
      </c>
      <c r="AF44" s="200">
        <f>IF(OR($Z44="",$N44=""),0,$Z44*5%)</f>
        <v/>
      </c>
      <c r="AG44" s="200">
        <f>IF(OR($Z44="",$O44=""),0,$Z44*10%)</f>
        <v/>
      </c>
      <c r="AH44" s="200">
        <f>IF($Z44="",0,IF(AND($P44="",$Q44=""),($Z44-$AE44-$AF44-$AG44-$AJ44-$AK44-$AL44-$AM44-$AN44),IF($P44="",0,IF($Q44="",($Z44-$AE44-$AF44-$AG44-$AJ44-$AK44-$AL44-$AM44-$AN44),($Z44-$AE44-$AF44-$AG44-$AJ44-$AK44-$AL44-$AM44-$AN44)*40%/(40%+15%)))))</f>
        <v/>
      </c>
      <c r="AI44" s="200">
        <f>IF($Z44="",0,IF(AND($P44="",$Q44=""),0,IF($Q44="",0,IF($P44="",($Z44-$AE44-$AF44-$AG44-$AJ44-$AK44-$AL44-$AM44-$AN44),($Z44-$AE44-$AF44-$AG44-$AJ44-$AK44-$AL44-$AM44-$AN44)*15%/(40%+15%)))))</f>
        <v/>
      </c>
      <c r="AJ44" s="282">
        <f>IF($Z44="",0,$Z44*15%)</f>
        <v/>
      </c>
      <c r="AK44" s="200">
        <f>IF($Z44="",0,IF($R44="",0,$R44))</f>
        <v/>
      </c>
      <c r="AL44" s="200">
        <f>IF(OR($Z44="",$S44=""),0,$Z44*5%)</f>
        <v/>
      </c>
      <c r="AM44" s="200">
        <f>IF(OR($Z44="",$T44=""),0,$Z44*10%)</f>
        <v/>
      </c>
      <c r="AN44" s="200">
        <f>IF($Z44="",0,IF($U44="",0,$U44))</f>
        <v/>
      </c>
      <c r="AO44" s="56">
        <f>SUM(AE44:AM44)</f>
        <v/>
      </c>
    </row>
    <row r="45" ht="60.75" customHeight="1" s="300">
      <c r="A45" s="1" t="n">
        <v>44</v>
      </c>
      <c r="B45" s="290" t="n"/>
      <c r="C45" s="2" t="inlineStr">
        <is>
          <t>Trending</t>
        </is>
      </c>
      <c r="D45" s="50" t="inlineStr">
        <is>
          <t>OC Trending V2</t>
        </is>
      </c>
      <c r="E45" s="253" t="inlineStr">
        <is>
          <t>https://octopusdtlsupport.atlassian.net/browse/O2-456</t>
        </is>
      </c>
      <c r="F45" s="33" t="inlineStr">
        <is>
          <t>Imp Team, Process Team</t>
        </is>
      </c>
      <c r="G45" s="1" t="n"/>
      <c r="H45" s="299" t="n">
        <v>3</v>
      </c>
      <c r="I45" s="24" t="n"/>
      <c r="J45" s="24" t="n"/>
      <c r="K45" s="24" t="n">
        <v>1</v>
      </c>
      <c r="L45" s="24" t="inlineStr">
        <is>
          <t>UnPlan</t>
        </is>
      </c>
      <c r="M45" s="24" t="n"/>
      <c r="N45" s="24" t="n"/>
      <c r="O45" s="24" t="n">
        <v>10</v>
      </c>
      <c r="P45" s="24" t="n">
        <v>30</v>
      </c>
      <c r="Q45" s="24" t="n">
        <v>10</v>
      </c>
      <c r="R45" s="24" t="n"/>
      <c r="S45" s="24" t="n"/>
      <c r="T45" s="24" t="n">
        <v>5</v>
      </c>
      <c r="U45" s="24">
        <f>10+2</f>
        <v/>
      </c>
      <c r="V45" s="45">
        <f>SUM(M45:U45)</f>
        <v/>
      </c>
      <c r="W45" s="170">
        <f>V45 - (V45 * (SUBSTITUTE(SUBSTITUTE($W$2, "Optimistic (", ""), "%)", "") / 100))</f>
        <v/>
      </c>
      <c r="X45" s="170">
        <f>V45 + (W45 * (SUBSTITUTE(SUBSTITUTE($W$2, "Optimistic (", ""), "%)", "") / 100))</f>
        <v/>
      </c>
      <c r="Y45" s="175">
        <f>(W45+(4*V45)+X45)/6</f>
        <v/>
      </c>
      <c r="Z45" s="201">
        <f>Y45/2</f>
        <v/>
      </c>
      <c r="AA45" s="179" t="n">
        <v>46146</v>
      </c>
      <c r="AB45" s="179" t="n">
        <v>46171</v>
      </c>
      <c r="AC45" s="179" t="n">
        <v>46174</v>
      </c>
      <c r="AD45" s="179" t="n">
        <v>46183</v>
      </c>
      <c r="AE45" s="200">
        <f>IF($Z45="",0,IF($M45="",0,$M45))</f>
        <v/>
      </c>
      <c r="AF45" s="200">
        <f>IF(OR($Z45="",$N45=""),0,$Z45*5%)</f>
        <v/>
      </c>
      <c r="AG45" s="200">
        <f>IF(OR($Z45="",$O45=""),0,$Z45*10%)</f>
        <v/>
      </c>
      <c r="AH45" s="200">
        <f>IF($Z45="",0,IF(AND($P45="",$Q45=""),($Z45-$AE45-$AF45-$AG45-$AJ45-$AK45-$AL45-$AM45-$AN45),IF($P45="",0,IF($Q45="",($Z45-$AE45-$AF45-$AG45-$AJ45-$AK45-$AL45-$AM45-$AN45),($Z45-$AE45-$AF45-$AG45-$AJ45-$AK45-$AL45-$AM45-$AN45)*40%/(40%+15%)))))</f>
        <v/>
      </c>
      <c r="AI45" s="200">
        <f>IF($Z45="",0,IF(AND($P45="",$Q45=""),0,IF($Q45="",0,IF($P45="",($Z45-$AE45-$AF45-$AG45-$AJ45-$AK45-$AL45-$AM45-$AN45),($Z45-$AE45-$AF45-$AG45-$AJ45-$AK45-$AL45-$AM45-$AN45)*15%/(40%+15%)))))</f>
        <v/>
      </c>
      <c r="AJ45" s="282">
        <f>IF($Z45="",0,$Z45*15%)</f>
        <v/>
      </c>
      <c r="AK45" s="200">
        <f>IF($Z45="",0,IF($R45="",0,$R45))</f>
        <v/>
      </c>
      <c r="AL45" s="200">
        <f>IF(OR($Z45="",$S45=""),0,$Z45*5%)</f>
        <v/>
      </c>
      <c r="AM45" s="200">
        <f>IF(OR($Z45="",$T45=""),0,$Z45*10%)</f>
        <v/>
      </c>
      <c r="AN45" s="200">
        <f>IF($Z45="",0,IF($U45="",0,$U45))</f>
        <v/>
      </c>
      <c r="AO45" s="56">
        <f>SUM(AE45:AM45)</f>
        <v/>
      </c>
    </row>
    <row r="46" ht="15" customHeight="1" s="300">
      <c r="A46" s="1" t="n">
        <v>45</v>
      </c>
      <c r="B46" s="290" t="n"/>
      <c r="C46" s="2" t="inlineStr">
        <is>
          <t>Audit Trail</t>
        </is>
      </c>
      <c r="D46" s="64" t="inlineStr">
        <is>
          <t>Audit Trail</t>
        </is>
      </c>
      <c r="E46" s="64" t="n"/>
      <c r="F46" s="1" t="inlineStr">
        <is>
          <t>Competitive</t>
        </is>
      </c>
      <c r="G46" s="1" t="n"/>
      <c r="H46" s="299" t="n">
        <v>2</v>
      </c>
      <c r="I46" s="24" t="n"/>
      <c r="J46" s="24" t="n"/>
      <c r="K46" s="24" t="n">
        <v>1</v>
      </c>
      <c r="L46" s="24" t="inlineStr">
        <is>
          <t>UnPlan</t>
        </is>
      </c>
      <c r="M46" s="24" t="n"/>
      <c r="N46" s="24" t="n"/>
      <c r="O46" s="24" t="n"/>
      <c r="P46" s="24" t="n"/>
      <c r="Q46" s="24" t="n"/>
      <c r="R46" s="24" t="n"/>
      <c r="S46" s="24" t="n"/>
      <c r="T46" s="24" t="n"/>
      <c r="U46" s="24" t="n"/>
      <c r="V46" s="45">
        <f>SUM(M46:U46)</f>
        <v/>
      </c>
      <c r="W46" s="170">
        <f>V46 - (V46 * (SUBSTITUTE(SUBSTITUTE($W$2, "Optimistic (", ""), "%)", "") / 100))</f>
        <v/>
      </c>
      <c r="X46" s="170">
        <f>V46 + (W46 * (SUBSTITUTE(SUBSTITUTE($W$2, "Optimistic (", ""), "%)", "") / 100))</f>
        <v/>
      </c>
      <c r="Y46" s="175">
        <f>(W46+(4*V46)+X46)/6</f>
        <v/>
      </c>
      <c r="Z46" s="201">
        <f>Y46/2</f>
        <v/>
      </c>
      <c r="AA46" s="179" t="n"/>
      <c r="AB46" s="179" t="n"/>
      <c r="AC46" s="179" t="n"/>
      <c r="AD46" s="179" t="n"/>
      <c r="AE46" s="200">
        <f>IF($Z46="",0,IF($M46="",0,$M46))</f>
        <v/>
      </c>
      <c r="AF46" s="200">
        <f>IF(OR($Z46="",$N46=""),0,$Z46*5%)</f>
        <v/>
      </c>
      <c r="AG46" s="200">
        <f>IF(OR($Z46="",$O46=""),0,$Z46*10%)</f>
        <v/>
      </c>
      <c r="AH46" s="200">
        <f>IF($Z46="",0,IF(AND($P46="",$Q46=""),($Z46-$AE46-$AF46-$AG46-$AJ46-$AK46-$AL46-$AM46-$AN46),IF($P46="",0,IF($Q46="",($Z46-$AE46-$AF46-$AG46-$AJ46-$AK46-$AL46-$AM46-$AN46),($Z46-$AE46-$AF46-$AG46-$AJ46-$AK46-$AL46-$AM46-$AN46)*40%/(40%+15%)))))</f>
        <v/>
      </c>
      <c r="AI46" s="200">
        <f>IF($Z46="",0,IF(AND($P46="",$Q46=""),0,IF($Q46="",0,IF($P46="",($Z46-$AE46-$AF46-$AG46-$AJ46-$AK46-$AL46-$AM46-$AN46),($Z46-$AE46-$AF46-$AG46-$AJ46-$AK46-$AL46-$AM46-$AN46)*15%/(40%+15%)))))</f>
        <v/>
      </c>
      <c r="AJ46" s="282">
        <f>IF($Z46="",0,$Z46*15%)</f>
        <v/>
      </c>
      <c r="AK46" s="200">
        <f>IF($Z46="",0,IF($R46="",0,$R46))</f>
        <v/>
      </c>
      <c r="AL46" s="200">
        <f>IF(OR($Z46="",$S46=""),0,$Z46*5%)</f>
        <v/>
      </c>
      <c r="AM46" s="200">
        <f>IF(OR($Z46="",$T46=""),0,$Z46*10%)</f>
        <v/>
      </c>
      <c r="AN46" s="200">
        <f>IF($Z46="",0,IF($U46="",0,$U46))</f>
        <v/>
      </c>
      <c r="AO46" s="56">
        <f>SUM(AE46:AM46)</f>
        <v/>
      </c>
    </row>
    <row r="47" ht="15" customHeight="1" s="300">
      <c r="A47" s="1" t="n">
        <v>46</v>
      </c>
      <c r="B47" s="290" t="n"/>
      <c r="C47" s="225" t="inlineStr">
        <is>
          <t>UI UX</t>
        </is>
      </c>
      <c r="D47" s="64" t="inlineStr">
        <is>
          <t xml:space="preserve">Revamped UI </t>
        </is>
      </c>
      <c r="E47" s="64" t="n"/>
      <c r="F47" s="1" t="inlineStr">
        <is>
          <t>Management</t>
        </is>
      </c>
      <c r="G47" s="1" t="n"/>
      <c r="H47" s="299" t="n">
        <v>1</v>
      </c>
      <c r="I47" s="24" t="n"/>
      <c r="J47" s="24" t="n"/>
      <c r="K47" s="24" t="inlineStr">
        <is>
          <t>1+</t>
        </is>
      </c>
      <c r="L47" s="24" t="n"/>
      <c r="M47" s="24" t="n"/>
      <c r="N47" s="24" t="n"/>
      <c r="O47" s="24" t="n"/>
      <c r="P47" s="24" t="n"/>
      <c r="Q47" s="24" t="n"/>
      <c r="R47" s="24" t="n"/>
      <c r="S47" s="24" t="n"/>
      <c r="T47" s="24" t="n"/>
      <c r="U47" s="24" t="n"/>
      <c r="V47" s="45">
        <f>SUM(M47:U47)</f>
        <v/>
      </c>
      <c r="W47" s="170">
        <f>V47 - (V47 * (SUBSTITUTE(SUBSTITUTE($W$2, "Optimistic (", ""), "%)", "") / 100))</f>
        <v/>
      </c>
      <c r="X47" s="170">
        <f>V47 + (W47 * (SUBSTITUTE(SUBSTITUTE($W$2, "Optimistic (", ""), "%)", "") / 100))</f>
        <v/>
      </c>
      <c r="Y47" s="175">
        <f>(W47+(4*V47)+X47)/6</f>
        <v/>
      </c>
      <c r="Z47" s="201">
        <f>Y47/2</f>
        <v/>
      </c>
      <c r="AA47" s="179" t="n"/>
      <c r="AB47" s="179" t="n"/>
      <c r="AC47" s="179" t="n"/>
      <c r="AD47" s="179" t="n"/>
      <c r="AE47" s="200">
        <f>IF($Z47="",0,IF($M47="",0,$M47))</f>
        <v/>
      </c>
      <c r="AF47" s="200">
        <f>IF(OR($Z47="",$N47=""),0,$Z47*5%)</f>
        <v/>
      </c>
      <c r="AG47" s="200">
        <f>IF(OR($Z47="",$O47=""),0,$Z47*10%)</f>
        <v/>
      </c>
      <c r="AH47" s="200">
        <f>IF($Z47="",0,IF(AND($P47="",$Q47=""),($Z47-$AE47-$AF47-$AG47-$AJ47-$AK47-$AL47-$AM47-$AN47),IF($P47="",0,IF($Q47="",($Z47-$AE47-$AF47-$AG47-$AJ47-$AK47-$AL47-$AM47-$AN47),($Z47-$AE47-$AF47-$AG47-$AJ47-$AK47-$AL47-$AM47-$AN47)*40%/(40%+15%)))))</f>
        <v/>
      </c>
      <c r="AI47" s="200">
        <f>IF($Z47="",0,IF(AND($P47="",$Q47=""),0,IF($Q47="",0,IF($P47="",($Z47-$AE47-$AF47-$AG47-$AJ47-$AK47-$AL47-$AM47-$AN47),($Z47-$AE47-$AF47-$AG47-$AJ47-$AK47-$AL47-$AM47-$AN47)*15%/(40%+15%)))))</f>
        <v/>
      </c>
      <c r="AJ47" s="282">
        <f>IF($Z47="",0,$Z47*15%)</f>
        <v/>
      </c>
      <c r="AK47" s="200">
        <f>IF($Z47="",0,IF($R47="",0,$R47))</f>
        <v/>
      </c>
      <c r="AL47" s="200">
        <f>IF(OR($Z47="",$S47=""),0,$Z47*5%)</f>
        <v/>
      </c>
      <c r="AM47" s="200">
        <f>IF(OR($Z47="",$T47=""),0,$Z47*10%)</f>
        <v/>
      </c>
      <c r="AN47" s="200">
        <f>IF($Z47="",0,IF($U47="",0,$U47))</f>
        <v/>
      </c>
      <c r="AO47" s="56">
        <f>SUM(AE47:AM47)</f>
        <v/>
      </c>
    </row>
    <row r="48" ht="60.75" customHeight="1" s="300">
      <c r="A48" s="1" t="n">
        <v>47</v>
      </c>
      <c r="B48" s="290" t="n"/>
      <c r="C48" s="26" t="inlineStr">
        <is>
          <t>Unified Notification Engine</t>
        </is>
      </c>
      <c r="D48" s="50" t="inlineStr">
        <is>
          <t>Unified Notification Engine</t>
        </is>
      </c>
      <c r="E48" s="230" t="inlineStr">
        <is>
          <t>https://octopusdtlsupport.atlassian.net/browse/O2-36</t>
        </is>
      </c>
      <c r="F48" s="291" t="inlineStr">
        <is>
          <t>RnD</t>
        </is>
      </c>
      <c r="G48" s="1" t="n"/>
      <c r="H48" s="299" t="n">
        <v>2</v>
      </c>
      <c r="I48" s="24" t="n"/>
      <c r="J48" s="24" t="n"/>
      <c r="K48" s="24" t="n">
        <v>1</v>
      </c>
      <c r="L48" s="24" t="inlineStr">
        <is>
          <t>UnPlan</t>
        </is>
      </c>
      <c r="M48" s="24" t="n"/>
      <c r="N48" s="24" t="n">
        <v>5</v>
      </c>
      <c r="O48" s="24" t="n">
        <v>5</v>
      </c>
      <c r="P48" s="24" t="n">
        <v>12</v>
      </c>
      <c r="Q48" s="24" t="n">
        <v>5</v>
      </c>
      <c r="R48" s="24" t="n"/>
      <c r="S48" s="24" t="n"/>
      <c r="T48" s="24" t="n"/>
      <c r="U48" s="24" t="n">
        <v>12</v>
      </c>
      <c r="V48" s="45">
        <f>SUM(M48:U48)</f>
        <v/>
      </c>
      <c r="W48" s="170">
        <f>V48 - (V48 * (SUBSTITUTE(SUBSTITUTE($W$2, "Optimistic (", ""), "%)", "") / 100))</f>
        <v/>
      </c>
      <c r="X48" s="170">
        <f>V48 + (W48 * (SUBSTITUTE(SUBSTITUTE($W$2, "Optimistic (", ""), "%)", "") / 100))</f>
        <v/>
      </c>
      <c r="Y48" s="175">
        <f>(W48+(4*V48)+X48)/6</f>
        <v/>
      </c>
      <c r="Z48" s="201">
        <f>Y48/2</f>
        <v/>
      </c>
      <c r="AA48" s="179" t="n">
        <v>46125</v>
      </c>
      <c r="AB48" s="179" t="n">
        <v>46142</v>
      </c>
      <c r="AC48" s="179" t="n">
        <v>46146</v>
      </c>
      <c r="AD48" s="179" t="n">
        <v>46149</v>
      </c>
      <c r="AE48" s="200">
        <f>IF($Z48="",0,IF($M48="",0,$M48))</f>
        <v/>
      </c>
      <c r="AF48" s="200">
        <f>IF(OR($Z48="",$N48=""),0,$Z48*5%)</f>
        <v/>
      </c>
      <c r="AG48" s="200">
        <f>IF(OR($Z48="",$O48=""),0,$Z48*10%)</f>
        <v/>
      </c>
      <c r="AH48" s="200">
        <f>IF($Z48="",0,IF(AND($P48="",$Q48=""),($Z48-$AE48-$AF48-$AG48-$AJ48-$AK48-$AL48-$AM48-$AN48),IF($P48="",0,IF($Q48="",($Z48-$AE48-$AF48-$AG48-$AJ48-$AK48-$AL48-$AM48-$AN48),($Z48-$AE48-$AF48-$AG48-$AJ48-$AK48-$AL48-$AM48-$AN48)*40%/(40%+15%)))))</f>
        <v/>
      </c>
      <c r="AI48" s="200">
        <f>IF($Z48="",0,IF(AND($P48="",$Q48=""),0,IF($Q48="",0,IF($P48="",($Z48-$AE48-$AF48-$AG48-$AJ48-$AK48-$AL48-$AM48-$AN48),($Z48-$AE48-$AF48-$AG48-$AJ48-$AK48-$AL48-$AM48-$AN48)*15%/(40%+15%)))))</f>
        <v/>
      </c>
      <c r="AJ48" s="282">
        <f>IF($Z48="",0,$Z48*15%)</f>
        <v/>
      </c>
      <c r="AK48" s="200">
        <f>IF($Z48="",0,IF($R48="",0,$R48))</f>
        <v/>
      </c>
      <c r="AL48" s="200">
        <f>IF(OR($Z48="",$S48=""),0,$Z48*5%)</f>
        <v/>
      </c>
      <c r="AM48" s="200">
        <f>IF(OR($Z48="",$T48=""),0,$Z48*10%)</f>
        <v/>
      </c>
      <c r="AN48" s="200">
        <f>IF($Z48="",0,IF($U48="",0,$U48))</f>
        <v/>
      </c>
      <c r="AO48" s="56">
        <f>SUM(AE48:AM48)</f>
        <v/>
      </c>
    </row>
    <row r="49" ht="15" customHeight="1" s="300">
      <c r="A49" s="1" t="n"/>
      <c r="B49" s="288" t="n"/>
      <c r="C49" s="186" t="inlineStr">
        <is>
          <t>Export to SQL</t>
        </is>
      </c>
      <c r="D49" s="187" t="inlineStr">
        <is>
          <t>Export to SQL Enhancement</t>
        </is>
      </c>
      <c r="E49" s="231" t="inlineStr">
        <is>
          <t>https://octopusdtlsupport.atlassian.net/browse/O2-1976</t>
        </is>
      </c>
      <c r="F49" s="1" t="inlineStr">
        <is>
          <t>Imp Team</t>
        </is>
      </c>
      <c r="G49" s="1" t="n"/>
      <c r="I49" s="24" t="n"/>
      <c r="J49" s="24" t="n"/>
      <c r="K49" s="24" t="n"/>
      <c r="L49" s="24" t="n"/>
      <c r="M49" s="24" t="n"/>
      <c r="N49" s="24" t="n">
        <v>0</v>
      </c>
      <c r="O49" s="24" t="n">
        <v>5</v>
      </c>
      <c r="P49" s="24" t="n">
        <v>10</v>
      </c>
      <c r="Q49" s="24" t="n">
        <v>5</v>
      </c>
      <c r="R49" s="24" t="n"/>
      <c r="S49" s="24" t="n">
        <v>3</v>
      </c>
      <c r="T49" s="24" t="n">
        <v>5</v>
      </c>
      <c r="U49" s="24" t="n">
        <v>10</v>
      </c>
      <c r="V49" s="45">
        <f>SUM(M49:U49)</f>
        <v/>
      </c>
      <c r="W49" s="170">
        <f>V49 - (V49 * (SUBSTITUTE(SUBSTITUTE($W$2, "Optimistic (", ""), "%)", "") / 100))</f>
        <v/>
      </c>
      <c r="X49" s="170">
        <f>V49 + (W49 * (SUBSTITUTE(SUBSTITUTE($W$2, "Optimistic (", ""), "%)", "") / 100))</f>
        <v/>
      </c>
      <c r="Y49" s="175">
        <f>(W49+(4*V49)+X49)/6</f>
        <v/>
      </c>
      <c r="Z49" s="201">
        <f>Y49/2</f>
        <v/>
      </c>
      <c r="AA49" s="179" t="n">
        <v>46098</v>
      </c>
      <c r="AB49" s="179" t="n">
        <v>46115</v>
      </c>
      <c r="AC49" s="179" t="n">
        <v>46121</v>
      </c>
      <c r="AD49" s="223" t="n">
        <v>46128</v>
      </c>
      <c r="AE49" s="200">
        <f>IF($Z49="",0,IF($M49="",0,$M49))</f>
        <v/>
      </c>
      <c r="AF49" s="200">
        <f>IF(OR($Z49="",$N49=""),0,$Z49*5%)</f>
        <v/>
      </c>
      <c r="AG49" s="200">
        <f>IF(OR($Z49="",$O49=""),0,$Z49*10%)</f>
        <v/>
      </c>
      <c r="AH49" s="200">
        <f>IF($Z49="",0,IF(AND($P49="",$Q49=""),($Z49-$AE49-$AF49-$AG49-$AJ49-$AK49-$AL49-$AM49-$AN49),IF($P49="",0,IF($Q49="",($Z49-$AE49-$AF49-$AG49-$AJ49-$AK49-$AL49-$AM49-$AN49),($Z49-$AE49-$AF49-$AG49-$AJ49-$AK49-$AL49-$AM49-$AN49)*40%/(40%+15%)))))</f>
        <v/>
      </c>
      <c r="AI49" s="200">
        <f>IF($Z49="",0,IF(AND($P49="",$Q49=""),0,IF($Q49="",0,IF($P49="",($Z49-$AE49-$AF49-$AG49-$AJ49-$AK49-$AL49-$AM49-$AN49),($Z49-$AE49-$AF49-$AG49-$AJ49-$AK49-$AL49-$AM49-$AN49)*15%/(40%+15%)))))</f>
        <v/>
      </c>
      <c r="AJ49" s="282">
        <f>IF($Z49="",0,$Z49*15%)</f>
        <v/>
      </c>
      <c r="AK49" s="200">
        <f>IF($Z49="",0,IF($R49="",0,$R49))</f>
        <v/>
      </c>
      <c r="AL49" s="200">
        <f>IF(OR($Z49="",$S49=""),0,$Z49*5%)</f>
        <v/>
      </c>
      <c r="AM49" s="200">
        <f>IF(OR($Z49="",$T49=""),0,$Z49*10%)</f>
        <v/>
      </c>
      <c r="AN49" s="200">
        <f>IF($Z49="",0,IF($U49="",0,$U49))</f>
        <v/>
      </c>
      <c r="AO49" s="314">
        <f>SUM(AE49:AM49)</f>
        <v/>
      </c>
    </row>
    <row r="50" ht="15" customHeight="1" s="300">
      <c r="A50" s="1" t="n">
        <v>48</v>
      </c>
      <c r="B50" s="291" t="inlineStr">
        <is>
          <t>Administration</t>
        </is>
      </c>
      <c r="C50" s="289" t="inlineStr">
        <is>
          <t>Subscription Management</t>
        </is>
      </c>
      <c r="D50" s="52" t="inlineStr">
        <is>
          <t>Pricing Module</t>
        </is>
      </c>
      <c r="E50" s="52" t="n"/>
      <c r="F50" s="1" t="inlineStr">
        <is>
          <t>Management</t>
        </is>
      </c>
      <c r="G50" s="1" t="n"/>
      <c r="H50" s="299" t="n">
        <v>1</v>
      </c>
      <c r="I50" s="24" t="n"/>
      <c r="J50" s="24" t="n"/>
      <c r="K50" s="24" t="n">
        <v>1</v>
      </c>
      <c r="L50" s="24" t="inlineStr">
        <is>
          <t>Plan</t>
        </is>
      </c>
      <c r="M50" s="24" t="n"/>
      <c r="N50" s="24" t="n"/>
      <c r="O50" s="24" t="n"/>
      <c r="P50" s="24" t="n"/>
      <c r="Q50" s="24" t="n"/>
      <c r="R50" s="24" t="n"/>
      <c r="S50" s="24" t="n"/>
      <c r="T50" s="24" t="n"/>
      <c r="U50" s="24" t="n"/>
      <c r="V50" s="45">
        <f>SUM(M50:U50)</f>
        <v/>
      </c>
      <c r="W50" s="170">
        <f>V50 - (V50 * (SUBSTITUTE(SUBSTITUTE($W$2, "Optimistic (", ""), "%)", "") / 100))</f>
        <v/>
      </c>
      <c r="X50" s="170">
        <f>V50 + (W50 * (SUBSTITUTE(SUBSTITUTE($W$2, "Optimistic (", ""), "%)", "") / 100))</f>
        <v/>
      </c>
      <c r="Y50" s="175">
        <f>(W50+(4*V50)+X50)/6</f>
        <v/>
      </c>
      <c r="Z50" s="201">
        <f>Y50/2</f>
        <v/>
      </c>
      <c r="AA50" s="179" t="n"/>
      <c r="AB50" s="179" t="n"/>
      <c r="AC50" s="179" t="n"/>
      <c r="AD50" s="179" t="n"/>
      <c r="AE50" s="200">
        <f>IF($Z50="",0,IF($M50="",0,$M50))</f>
        <v/>
      </c>
      <c r="AF50" s="200">
        <f>IF(OR($Z50="",$N50=""),0,$Z50*5%)</f>
        <v/>
      </c>
      <c r="AG50" s="200">
        <f>IF(OR($Z50="",$O50=""),0,$Z50*10%)</f>
        <v/>
      </c>
      <c r="AH50" s="200">
        <f>IF($Z50="",0,IF(AND($P50="",$Q50=""),($Z50-$AE50-$AF50-$AG50-$AJ50-$AK50-$AL50-$AM50-$AN50),IF($P50="",0,IF($Q50="",($Z50-$AE50-$AF50-$AG50-$AJ50-$AK50-$AL50-$AM50-$AN50),($Z50-$AE50-$AF50-$AG50-$AJ50-$AK50-$AL50-$AM50-$AN50)*40%/(40%+15%)))))</f>
        <v/>
      </c>
      <c r="AI50" s="200">
        <f>IF($Z50="",0,IF(AND($P50="",$Q50=""),0,IF($Q50="",0,IF($P50="",($Z50-$AE50-$AF50-$AG50-$AJ50-$AK50-$AL50-$AM50-$AN50),($Z50-$AE50-$AF50-$AG50-$AJ50-$AK50-$AL50-$AM50-$AN50)*15%/(40%+15%)))))</f>
        <v/>
      </c>
      <c r="AJ50" s="282">
        <f>IF($Z50="",0,$Z50*15%)</f>
        <v/>
      </c>
      <c r="AK50" s="200">
        <f>IF($Z50="",0,IF($R50="",0,$R50))</f>
        <v/>
      </c>
      <c r="AL50" s="200">
        <f>IF(OR($Z50="",$S50=""),0,$Z50*5%)</f>
        <v/>
      </c>
      <c r="AM50" s="200">
        <f>IF(OR($Z50="",$T50=""),0,$Z50*10%)</f>
        <v/>
      </c>
      <c r="AN50" s="200">
        <f>IF($Z50="",0,IF($U50="",0,$U50))</f>
        <v/>
      </c>
      <c r="AO50" s="56">
        <f>SUM(AE50:AM50)</f>
        <v/>
      </c>
    </row>
    <row r="51" ht="15" customHeight="1" s="300">
      <c r="A51" s="1" t="n">
        <v>49</v>
      </c>
      <c r="B51" s="290" t="n"/>
      <c r="C51" s="288" t="n"/>
      <c r="D51" s="65" t="inlineStr">
        <is>
          <t>Subscription Management</t>
        </is>
      </c>
      <c r="E51" s="65" t="n"/>
      <c r="F51" s="66" t="inlineStr">
        <is>
          <t>Management</t>
        </is>
      </c>
      <c r="G51" s="66" t="n"/>
      <c r="H51" s="67" t="n">
        <v>1</v>
      </c>
      <c r="I51" s="68" t="n"/>
      <c r="J51" s="68" t="n"/>
      <c r="K51" s="68" t="n">
        <v>2</v>
      </c>
      <c r="L51" s="68" t="inlineStr">
        <is>
          <t>UnPlan</t>
        </is>
      </c>
      <c r="M51" s="68" t="n"/>
      <c r="N51" s="68" t="n"/>
      <c r="O51" s="68" t="n"/>
      <c r="P51" s="68" t="n"/>
      <c r="Q51" s="68" t="n"/>
      <c r="R51" s="68" t="n"/>
      <c r="S51" s="68" t="n"/>
      <c r="T51" s="68" t="n"/>
      <c r="U51" s="24" t="n"/>
      <c r="V51" s="45">
        <f>SUM(M51:U51)</f>
        <v/>
      </c>
      <c r="W51" s="170">
        <f>V51 - (V51 * (SUBSTITUTE(SUBSTITUTE($W$2, "Optimistic (", ""), "%)", "") / 100))</f>
        <v/>
      </c>
      <c r="X51" s="170">
        <f>V51 + (W51 * (SUBSTITUTE(SUBSTITUTE($W$2, "Optimistic (", ""), "%)", "") / 100))</f>
        <v/>
      </c>
      <c r="Y51" s="175">
        <f>(W51+(4*V51)+X51)/6</f>
        <v/>
      </c>
      <c r="Z51" s="201">
        <f>Y51/2</f>
        <v/>
      </c>
      <c r="AA51" s="179" t="n"/>
      <c r="AB51" s="179" t="n"/>
      <c r="AC51" s="179" t="n"/>
      <c r="AD51" s="179" t="n"/>
      <c r="AE51" s="200">
        <f>IF($Z51="",0,IF($M51="",0,$M51))</f>
        <v/>
      </c>
      <c r="AF51" s="200">
        <f>IF(OR($Z51="",$N51=""),0,$Z51*5%)</f>
        <v/>
      </c>
      <c r="AG51" s="200">
        <f>IF(OR($Z51="",$O51=""),0,$Z51*10%)</f>
        <v/>
      </c>
      <c r="AH51" s="200">
        <f>IF($Z51="",0,IF(AND($P51="",$Q51=""),($Z51-$AE51-$AF51-$AG51-$AJ51-$AK51-$AL51-$AM51-$AN51),IF($P51="",0,IF($Q51="",($Z51-$AE51-$AF51-$AG51-$AJ51-$AK51-$AL51-$AM51-$AN51),($Z51-$AE51-$AF51-$AG51-$AJ51-$AK51-$AL51-$AM51-$AN51)*40%/(40%+15%)))))</f>
        <v/>
      </c>
      <c r="AI51" s="200">
        <f>IF($Z51="",0,IF(AND($P51="",$Q51=""),0,IF($Q51="",0,IF($P51="",($Z51-$AE51-$AF51-$AG51-$AJ51-$AK51-$AL51-$AM51-$AN51),($Z51-$AE51-$AF51-$AG51-$AJ51-$AK51-$AL51-$AM51-$AN51)*15%/(40%+15%)))))</f>
        <v/>
      </c>
      <c r="AJ51" s="282">
        <f>IF($Z51="",0,$Z51*15%)</f>
        <v/>
      </c>
      <c r="AK51" s="200">
        <f>IF($Z51="",0,IF($R51="",0,$R51))</f>
        <v/>
      </c>
      <c r="AL51" s="200">
        <f>IF(OR($Z51="",$S51=""),0,$Z51*5%)</f>
        <v/>
      </c>
      <c r="AM51" s="200">
        <f>IF(OR($Z51="",$T51=""),0,$Z51*10%)</f>
        <v/>
      </c>
      <c r="AN51" s="200">
        <f>IF($Z51="",0,IF($U51="",0,$U51))</f>
        <v/>
      </c>
      <c r="AO51" s="56">
        <f>SUM(AE51:AM51)</f>
        <v/>
      </c>
    </row>
    <row r="52" ht="15" customHeight="1" s="300">
      <c r="A52" s="1" t="n">
        <v>50</v>
      </c>
      <c r="B52" s="288" t="n"/>
      <c r="C52" s="226" t="inlineStr">
        <is>
          <t>DRP</t>
        </is>
      </c>
      <c r="D52" s="52" t="inlineStr">
        <is>
          <t>Redundancy in Blob Storage</t>
        </is>
      </c>
      <c r="E52" s="52" t="n"/>
      <c r="F52" s="1" t="inlineStr">
        <is>
          <t>RnD</t>
        </is>
      </c>
      <c r="G52" s="1" t="n"/>
      <c r="H52" s="299" t="n">
        <v>3</v>
      </c>
      <c r="I52" s="24" t="n"/>
      <c r="J52" s="24" t="n"/>
      <c r="K52" s="24" t="n">
        <v>3</v>
      </c>
      <c r="L52" s="24" t="inlineStr">
        <is>
          <t>UnPlan</t>
        </is>
      </c>
      <c r="M52" s="24" t="n"/>
      <c r="N52" s="24" t="n"/>
      <c r="O52" s="24" t="n"/>
      <c r="P52" s="24" t="n"/>
      <c r="Q52" s="24" t="n"/>
      <c r="R52" s="24" t="n"/>
      <c r="S52" s="24" t="n"/>
      <c r="T52" s="24" t="n"/>
      <c r="U52" s="24" t="n"/>
      <c r="V52" s="45">
        <f>SUM(M52:U52)</f>
        <v/>
      </c>
      <c r="W52" s="170">
        <f>V52 - (V52 * (SUBSTITUTE(SUBSTITUTE($W$2, "Optimistic (", ""), "%)", "") / 100))</f>
        <v/>
      </c>
      <c r="X52" s="170">
        <f>V52 + (W52 * (SUBSTITUTE(SUBSTITUTE($W$2, "Optimistic (", ""), "%)", "") / 100))</f>
        <v/>
      </c>
      <c r="Y52" s="175">
        <f>(W52+(4*V52)+X52)/6</f>
        <v/>
      </c>
      <c r="Z52" s="201">
        <f>Y52/2</f>
        <v/>
      </c>
      <c r="AA52" s="179" t="n"/>
      <c r="AB52" s="179" t="n"/>
      <c r="AC52" s="179" t="n"/>
      <c r="AD52" s="179" t="n"/>
      <c r="AE52" s="200">
        <f>IF($Z52="",0,IF($M52="",0,$M52))</f>
        <v/>
      </c>
      <c r="AF52" s="200">
        <f>IF(OR($Z52="",$N52=""),0,$Z52*5%)</f>
        <v/>
      </c>
      <c r="AG52" s="200">
        <f>IF(OR($Z52="",$O52=""),0,$Z52*10%)</f>
        <v/>
      </c>
      <c r="AH52" s="200">
        <f>IF($Z52="",0,IF(AND($P52="",$Q52=""),($Z52-$AE52-$AF52-$AG52-$AJ52-$AK52-$AL52-$AM52-$AN52),IF($P52="",0,IF($Q52="",($Z52-$AE52-$AF52-$AG52-$AJ52-$AK52-$AL52-$AM52-$AN52),($Z52-$AE52-$AF52-$AG52-$AJ52-$AK52-$AL52-$AM52-$AN52)*40%/(40%+15%)))))</f>
        <v/>
      </c>
      <c r="AI52" s="200">
        <f>IF($Z52="",0,IF(AND($P52="",$Q52=""),0,IF($Q52="",0,IF($P52="",($Z52-$AE52-$AF52-$AG52-$AJ52-$AK52-$AL52-$AM52-$AN52),($Z52-$AE52-$AF52-$AG52-$AJ52-$AK52-$AL52-$AM52-$AN52)*15%/(40%+15%)))))</f>
        <v/>
      </c>
      <c r="AJ52" s="282">
        <f>IF($Z52="",0,$Z52*15%)</f>
        <v/>
      </c>
      <c r="AK52" s="200">
        <f>IF($Z52="",0,IF($R52="",0,$R52))</f>
        <v/>
      </c>
      <c r="AL52" s="200">
        <f>IF(OR($Z52="",$S52=""),0,$Z52*5%)</f>
        <v/>
      </c>
      <c r="AM52" s="200">
        <f>IF(OR($Z52="",$T52=""),0,$Z52*10%)</f>
        <v/>
      </c>
      <c r="AN52" s="200">
        <f>IF($Z52="",0,IF($U52="",0,$U52))</f>
        <v/>
      </c>
      <c r="AO52" s="56">
        <f>SUM(AE52:AM52)</f>
        <v/>
      </c>
      <c r="AP52" t="inlineStr">
        <is>
          <t>Why is this needed?</t>
        </is>
      </c>
    </row>
    <row r="53" ht="15" customHeight="1" s="300">
      <c r="M53" s="24" t="n"/>
      <c r="N53" s="24" t="n"/>
      <c r="O53" s="24" t="n"/>
      <c r="P53" s="24" t="n"/>
      <c r="Q53" s="24" t="n"/>
      <c r="R53" s="24" t="n"/>
      <c r="S53" s="24" t="n"/>
      <c r="T53" s="24" t="n"/>
      <c r="V53" s="127">
        <f>SUM(V3:V52)*Settings!I2</f>
        <v/>
      </c>
      <c r="W53" s="176">
        <f>SUM(W3:W52)*Settings!I2</f>
        <v/>
      </c>
      <c r="X53" s="176">
        <f>SUM(X3:X52)*Settings!I2</f>
        <v/>
      </c>
      <c r="Y53" s="177">
        <f>SUM(Y3:Y52)*Settings!I2</f>
        <v/>
      </c>
      <c r="Z53" s="177">
        <f>SUM(Z3:Z52)*Settings!I2</f>
        <v/>
      </c>
      <c r="AA53" s="169" t="n"/>
      <c r="AB53" s="169" t="n"/>
      <c r="AC53" s="169" t="n"/>
      <c r="AD53" s="169" t="n"/>
      <c r="AE53" s="176">
        <f>SUM(AE3:AE52)</f>
        <v/>
      </c>
      <c r="AF53" s="176">
        <f>SUM(AF3:AF52)</f>
        <v/>
      </c>
      <c r="AG53" s="176">
        <f>IF(OR($Z53="",$O53=""),0,$Z53*10%)</f>
        <v/>
      </c>
      <c r="AH53" s="176">
        <f>IF($Z53="",0,IF(AND($P53="",$Q53=""),($Z53-$AE53-$AF53-$AG53-$AJ53-$AK53-$AL53-$AM53-$AN53),IF($P53="",0,IF($Q53="",($Z53-$AE53-$AF53-$AG53-$AJ53-$AK53-$AL53-$AM53-$AN53),($Z53-$AE53-$AF53-$AG53-$AJ53-$AK53-$AL53-$AM53-$AN53)*40%/(40%+15%)))))</f>
        <v/>
      </c>
      <c r="AI53" s="176">
        <f>IF($Z53="",0,IF(AND($P53="",$Q53=""),0,IF($Q53="",0,IF($P53="",($Z53-$AE53-$AF53-$AG53-$AJ53-$AK53-$AL53-$AM53-$AN53),($Z53-$AE53-$AF53-$AG53-$AJ53-$AK53-$AL53-$AM53-$AN53)*15%/(40%+15%)))))</f>
        <v/>
      </c>
      <c r="AJ53" s="283">
        <f>IF($Z53="",0,$Z53*15%)</f>
        <v/>
      </c>
      <c r="AK53" s="176">
        <f>IF($Z53="",0,IF($R53="",0,$R53))</f>
        <v/>
      </c>
      <c r="AL53" s="176">
        <f>IF(OR($Z53="",$S53=""),0,$Z53*5%)</f>
        <v/>
      </c>
      <c r="AM53" s="176">
        <f>IF(OR($Z53="",$T53=""),0,$Z53*10%)</f>
        <v/>
      </c>
      <c r="AN53" s="176">
        <f>IF($Z53="",0,IF($U53="",0,$U53))</f>
        <v/>
      </c>
      <c r="AO53" s="56" t="n"/>
    </row>
  </sheetData>
  <mergeCells count="18">
    <mergeCell ref="A1:D1"/>
    <mergeCell ref="C31:C35"/>
    <mergeCell ref="C43:C44"/>
    <mergeCell ref="C7:C9"/>
    <mergeCell ref="B43:B49"/>
    <mergeCell ref="C38:C39"/>
    <mergeCell ref="M1:V1"/>
    <mergeCell ref="C3:C4"/>
    <mergeCell ref="C11:C22"/>
    <mergeCell ref="C29:C30"/>
    <mergeCell ref="C41:C42"/>
    <mergeCell ref="B50:B52"/>
    <mergeCell ref="W1:AN1"/>
    <mergeCell ref="C23:C25"/>
    <mergeCell ref="B3:B9"/>
    <mergeCell ref="C50:C51"/>
    <mergeCell ref="C26:C27"/>
    <mergeCell ref="B11:B42"/>
  </mergeCells>
  <hyperlinks>
    <hyperlink xmlns:r="http://schemas.openxmlformats.org/officeDocument/2006/relationships" ref="E3" r:id="rId1"/>
    <hyperlink xmlns:r="http://schemas.openxmlformats.org/officeDocument/2006/relationships" ref="E7" r:id="rId2"/>
    <hyperlink xmlns:r="http://schemas.openxmlformats.org/officeDocument/2006/relationships" ref="E8" r:id="rId3"/>
    <hyperlink xmlns:r="http://schemas.openxmlformats.org/officeDocument/2006/relationships" ref="E9" r:id="rId4"/>
    <hyperlink xmlns:r="http://schemas.openxmlformats.org/officeDocument/2006/relationships" ref="E10" r:id="rId5"/>
    <hyperlink xmlns:r="http://schemas.openxmlformats.org/officeDocument/2006/relationships" ref="E19" r:id="rId6"/>
    <hyperlink xmlns:r="http://schemas.openxmlformats.org/officeDocument/2006/relationships" ref="E20" r:id="rId7"/>
    <hyperlink xmlns:r="http://schemas.openxmlformats.org/officeDocument/2006/relationships" ref="E28" r:id="rId8"/>
    <hyperlink xmlns:r="http://schemas.openxmlformats.org/officeDocument/2006/relationships" ref="E31" r:id="rId9"/>
    <hyperlink xmlns:r="http://schemas.openxmlformats.org/officeDocument/2006/relationships" ref="E32" r:id="rId10"/>
    <hyperlink xmlns:r="http://schemas.openxmlformats.org/officeDocument/2006/relationships" ref="E33" r:id="rId11"/>
    <hyperlink xmlns:r="http://schemas.openxmlformats.org/officeDocument/2006/relationships" ref="E34" r:id="rId12"/>
    <hyperlink xmlns:r="http://schemas.openxmlformats.org/officeDocument/2006/relationships" ref="E35" r:id="rId13"/>
    <hyperlink xmlns:r="http://schemas.openxmlformats.org/officeDocument/2006/relationships" ref="E36" r:id="rId14"/>
    <hyperlink xmlns:r="http://schemas.openxmlformats.org/officeDocument/2006/relationships" ref="E45" r:id="rId15"/>
    <hyperlink xmlns:r="http://schemas.openxmlformats.org/officeDocument/2006/relationships" ref="E48" r:id="rId16"/>
    <hyperlink xmlns:r="http://schemas.openxmlformats.org/officeDocument/2006/relationships" ref="E49" r:id="rId17"/>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B1:D6"/>
  <sheetViews>
    <sheetView workbookViewId="0">
      <selection activeCell="B16" sqref="B16"/>
    </sheetView>
  </sheetViews>
  <sheetFormatPr baseColWidth="8" defaultRowHeight="14.4"/>
  <cols>
    <col width="15.5546875" customWidth="1" style="300" min="2" max="2"/>
    <col width="11" customWidth="1" style="300" min="3" max="3"/>
    <col width="12.109375" customWidth="1" style="300" min="4" max="4"/>
  </cols>
  <sheetData>
    <row r="1">
      <c r="C1" t="inlineStr">
        <is>
          <t>Man days</t>
        </is>
      </c>
    </row>
    <row r="2">
      <c r="B2" t="inlineStr">
        <is>
          <t>Most likely</t>
        </is>
      </c>
      <c r="C2" t="n">
        <v>20</v>
      </c>
      <c r="D2">
        <f>C2*3</f>
        <v/>
      </c>
    </row>
    <row r="3">
      <c r="B3" s="35" t="n">
        <v>0.3</v>
      </c>
      <c r="C3">
        <f>C2*1.3</f>
        <v/>
      </c>
      <c r="D3">
        <f>C3</f>
        <v/>
      </c>
    </row>
    <row r="4">
      <c r="C4">
        <f>C2/1.5</f>
        <v/>
      </c>
      <c r="D4">
        <f>C4</f>
        <v/>
      </c>
    </row>
    <row r="5">
      <c r="D5">
        <f>SUM(D2:D4)</f>
        <v/>
      </c>
    </row>
    <row r="6">
      <c r="D6">
        <f>D5/6</f>
        <v/>
      </c>
    </row>
  </sheetData>
  <pageMargins left="0.7" right="0.7" top="0.75" bottom="0.75" header="0.3" footer="0.3"/>
</worksheet>
</file>

<file path=xl/worksheets/sheet4.xml><?xml version="1.0" encoding="utf-8"?>
<worksheet xmlns="http://schemas.openxmlformats.org/spreadsheetml/2006/main">
  <sheetPr filterMode="1">
    <outlinePr summaryBelow="1" summaryRight="1"/>
    <pageSetUpPr/>
  </sheetPr>
  <dimension ref="A1:AP60"/>
  <sheetViews>
    <sheetView zoomScaleNormal="100" workbookViewId="0">
      <pane xSplit="5" ySplit="2" topLeftCell="F3" activePane="bottomRight" state="frozen"/>
      <selection pane="topRight" activeCell="G1" sqref="G1"/>
      <selection pane="bottomLeft" activeCell="A3" sqref="A3"/>
      <selection pane="bottomRight" activeCell="E4" sqref="E4:E10"/>
    </sheetView>
  </sheetViews>
  <sheetFormatPr baseColWidth="8" defaultRowHeight="18" customHeight="1"/>
  <cols>
    <col width="4.44140625" bestFit="1" customWidth="1" style="300" min="1" max="1"/>
    <col width="14.33203125" bestFit="1" customWidth="1" style="300" min="2" max="2"/>
    <col width="15" bestFit="1" customWidth="1" style="300" min="3" max="3"/>
    <col width="49.5546875" customWidth="1" style="54" min="4" max="4"/>
    <col width="19.109375" customWidth="1" style="54" min="5" max="5"/>
    <col width="11.6640625" bestFit="1" customWidth="1" style="300" min="6" max="6"/>
    <col hidden="1" width="6" customWidth="1" style="300" min="7" max="7"/>
    <col width="7.33203125" bestFit="1" customWidth="1" style="300" min="8" max="11"/>
    <col width="10.44140625" bestFit="1" customWidth="1" style="300" min="12" max="12"/>
    <col width="9.88671875" bestFit="1" customWidth="1" style="300" min="13" max="13"/>
    <col width="6.44140625" bestFit="1" customWidth="1" style="300" min="14" max="15"/>
    <col width="4.33203125" bestFit="1" customWidth="1" style="300" min="16" max="16"/>
    <col width="4.109375" customWidth="1" style="300" min="17" max="17"/>
    <col width="7.6640625" bestFit="1" customWidth="1" style="300" min="18" max="18"/>
    <col width="4.33203125" bestFit="1" customWidth="1" style="300" min="19" max="19"/>
    <col width="8.33203125" bestFit="1" customWidth="1" style="300" min="20" max="20"/>
    <col width="7.6640625" bestFit="1" customWidth="1" style="300" min="21" max="21"/>
    <col width="9.33203125" bestFit="1" customWidth="1" style="309" min="22" max="22"/>
    <col width="15.33203125" bestFit="1" customWidth="1" style="300" min="23" max="23"/>
    <col width="16" bestFit="1" customWidth="1" style="300" min="24" max="24"/>
    <col width="11" bestFit="1" customWidth="1" style="69" min="25" max="25"/>
    <col width="11" customWidth="1" style="69" min="26" max="30"/>
    <col width="14.33203125" bestFit="1" customWidth="1" style="300" min="31" max="31"/>
    <col width="10.6640625" bestFit="1" customWidth="1" style="300" min="32" max="32"/>
    <col width="11.6640625" bestFit="1" customWidth="1" style="300" min="33" max="33"/>
    <col width="9.5546875" bestFit="1" customWidth="1" style="300" min="34" max="34"/>
    <col width="9.88671875" bestFit="1" customWidth="1" style="300" min="35" max="35"/>
    <col width="14" bestFit="1" customWidth="1" style="300" min="36" max="36"/>
    <col width="8.44140625" bestFit="1" customWidth="1" style="300" min="37" max="37"/>
    <col width="12.44140625" bestFit="1" customWidth="1" style="300" min="38" max="38"/>
    <col width="12.109375" bestFit="1" customWidth="1" style="300" min="39" max="39"/>
    <col width="95.44140625" bestFit="1" customWidth="1" style="300" min="41" max="41"/>
  </cols>
  <sheetData>
    <row r="1" ht="18" customHeight="1" s="300">
      <c r="A1" s="302" t="inlineStr">
        <is>
          <t>Fintech Fuel Roadmap Items</t>
        </is>
      </c>
      <c r="B1" s="303" t="n"/>
      <c r="C1" s="303" t="n"/>
      <c r="D1" s="304" t="n"/>
      <c r="E1" s="232" t="n"/>
      <c r="F1" s="98" t="n"/>
      <c r="G1" s="7" t="n"/>
      <c r="H1" s="42" t="inlineStr">
        <is>
          <t>BHW</t>
        </is>
      </c>
      <c r="I1" s="42" t="inlineStr">
        <is>
          <t>TK</t>
        </is>
      </c>
      <c r="J1" s="42" t="inlineStr">
        <is>
          <t>AA</t>
        </is>
      </c>
      <c r="K1" s="42" t="inlineStr">
        <is>
          <t>TS</t>
        </is>
      </c>
      <c r="L1" s="41" t="n"/>
      <c r="M1" s="308" t="inlineStr">
        <is>
          <t>RnD Most likely</t>
        </is>
      </c>
      <c r="W1" s="311" t="inlineStr">
        <is>
          <t>TK Budgeted</t>
        </is>
      </c>
      <c r="X1" s="312" t="n"/>
      <c r="Y1" s="312" t="n"/>
      <c r="Z1" s="312" t="n"/>
      <c r="AA1" s="312" t="n"/>
      <c r="AB1" s="312" t="n"/>
      <c r="AC1" s="312" t="n"/>
      <c r="AD1" s="312" t="n"/>
      <c r="AE1" s="312" t="n"/>
      <c r="AF1" s="312" t="n"/>
      <c r="AG1" s="312" t="n"/>
      <c r="AH1" s="312" t="n"/>
      <c r="AI1" s="312" t="n"/>
      <c r="AJ1" s="312" t="n"/>
      <c r="AK1" s="312" t="n"/>
      <c r="AL1" s="312" t="n"/>
      <c r="AM1" s="312" t="n"/>
      <c r="AN1" s="312" t="n"/>
    </row>
    <row r="2" ht="18" customHeight="1" s="300">
      <c r="A2" s="82" t="inlineStr">
        <is>
          <t>Sr #</t>
        </is>
      </c>
      <c r="B2" s="73" t="inlineStr">
        <is>
          <t>Category</t>
        </is>
      </c>
      <c r="C2" s="74" t="inlineStr">
        <is>
          <t>Components</t>
        </is>
      </c>
      <c r="D2" s="90" t="inlineStr">
        <is>
          <t>Road Map Items</t>
        </is>
      </c>
      <c r="E2" s="233" t="inlineStr">
        <is>
          <t>JIRA ID</t>
        </is>
      </c>
      <c r="F2" s="83" t="inlineStr">
        <is>
          <t>Originator</t>
        </is>
      </c>
      <c r="G2" s="88" t="inlineStr">
        <is>
          <t>Value</t>
        </is>
      </c>
      <c r="H2" s="75" t="inlineStr">
        <is>
          <t>Priority</t>
        </is>
      </c>
      <c r="I2" s="75" t="inlineStr">
        <is>
          <t>Priority</t>
        </is>
      </c>
      <c r="J2" s="75" t="inlineStr">
        <is>
          <t>Priority</t>
        </is>
      </c>
      <c r="K2" s="75" t="inlineStr">
        <is>
          <t>Priority</t>
        </is>
      </c>
      <c r="L2" s="75" t="inlineStr">
        <is>
          <t>Plan Status</t>
        </is>
      </c>
      <c r="M2" s="71" t="inlineStr">
        <is>
          <t>Prc Design</t>
        </is>
      </c>
      <c r="N2" s="71" t="inlineStr">
        <is>
          <t>R/URS</t>
        </is>
      </c>
      <c r="O2" s="71" t="inlineStr">
        <is>
          <t>R/DDS</t>
        </is>
      </c>
      <c r="P2" s="71" t="inlineStr">
        <is>
          <t>Dev</t>
        </is>
      </c>
      <c r="Q2" s="71" t="inlineStr">
        <is>
          <t>SQA</t>
        </is>
      </c>
      <c r="R2" s="71" t="inlineStr">
        <is>
          <t>Prc Test</t>
        </is>
      </c>
      <c r="S2" s="71" t="inlineStr">
        <is>
          <t>Doc</t>
        </is>
      </c>
      <c r="T2" s="71" t="inlineStr">
        <is>
          <t>Reg SQA</t>
        </is>
      </c>
      <c r="U2" s="71" t="inlineStr">
        <is>
          <t>Release</t>
        </is>
      </c>
      <c r="V2" s="71" t="inlineStr">
        <is>
          <t>Man Days</t>
        </is>
      </c>
      <c r="W2" s="38">
        <f>"Optimistic ("&amp;Summary!E7&amp;")"</f>
        <v/>
      </c>
      <c r="X2" s="38" t="inlineStr">
        <is>
          <t>Pessimistic (10%)</t>
        </is>
      </c>
      <c r="Y2" s="76" t="inlineStr">
        <is>
          <t>Est Formula</t>
        </is>
      </c>
      <c r="Z2" s="165" t="inlineStr">
        <is>
          <t>TK's TARGET</t>
        </is>
      </c>
      <c r="AA2" s="167" t="inlineStr">
        <is>
          <t>Start Date</t>
        </is>
      </c>
      <c r="AB2" s="167" t="inlineStr">
        <is>
          <t>Dev End</t>
        </is>
      </c>
      <c r="AC2" s="167" t="inlineStr">
        <is>
          <t>SQA HO</t>
        </is>
      </c>
      <c r="AD2" s="167" t="inlineStr">
        <is>
          <t>Prod Date</t>
        </is>
      </c>
      <c r="AE2" s="203" t="inlineStr">
        <is>
          <t>Prc Design</t>
        </is>
      </c>
      <c r="AF2" s="77" t="inlineStr">
        <is>
          <t>R/URS (5%)</t>
        </is>
      </c>
      <c r="AG2" s="77" t="inlineStr">
        <is>
          <t>R/DDS (10%)</t>
        </is>
      </c>
      <c r="AH2" s="77" t="inlineStr">
        <is>
          <t>Dev (40%)</t>
        </is>
      </c>
      <c r="AI2" s="77" t="inlineStr">
        <is>
          <t>SQA (15%)</t>
        </is>
      </c>
      <c r="AJ2" s="281" t="inlineStr">
        <is>
          <t>Bug Fixing (15%)</t>
        </is>
      </c>
      <c r="AK2" s="203" t="inlineStr">
        <is>
          <t>Prc Test</t>
        </is>
      </c>
      <c r="AL2" s="77" t="inlineStr">
        <is>
          <t>Doc (5%)</t>
        </is>
      </c>
      <c r="AM2" s="77" t="inlineStr">
        <is>
          <t>Reg SQA (10%)</t>
        </is>
      </c>
      <c r="AN2" s="203" t="inlineStr">
        <is>
          <t>Release</t>
        </is>
      </c>
    </row>
    <row r="3" ht="18" customHeight="1" s="300">
      <c r="A3" s="84" t="n">
        <v>1</v>
      </c>
      <c r="B3" s="310" t="inlineStr">
        <is>
          <t>Input</t>
        </is>
      </c>
      <c r="C3" s="310" t="inlineStr">
        <is>
          <t>Alsons</t>
        </is>
      </c>
      <c r="D3" s="105" t="inlineStr">
        <is>
          <t>Alsons Connectivity for Reading (done) (6h)</t>
        </is>
      </c>
      <c r="E3" s="234" t="n"/>
      <c r="F3" s="85" t="inlineStr">
        <is>
          <t>PGL</t>
        </is>
      </c>
      <c r="G3" s="89" t="n"/>
      <c r="H3" s="70" t="n"/>
      <c r="I3" s="70" t="n"/>
      <c r="J3" s="70" t="n"/>
      <c r="K3" s="70" t="n"/>
      <c r="L3" s="70" t="n"/>
      <c r="M3" s="305" t="n"/>
      <c r="N3" s="305" t="n">
        <v>2</v>
      </c>
      <c r="O3" s="305" t="n">
        <v>1</v>
      </c>
      <c r="P3" s="305" t="n">
        <v>5</v>
      </c>
      <c r="Q3" s="305" t="n">
        <v>0</v>
      </c>
      <c r="R3" s="305" t="n"/>
      <c r="S3" s="305" t="n">
        <v>0</v>
      </c>
      <c r="T3" s="305" t="n"/>
      <c r="U3" s="305" t="n">
        <v>2</v>
      </c>
      <c r="V3" s="78">
        <f>SUM(M3:U3)</f>
        <v/>
      </c>
      <c r="W3" s="39">
        <f>V3 - (V3 * (SUBSTITUTE(SUBSTITUTE($W$2, "Optimistic (", ""), "%)", "") / 100))</f>
        <v/>
      </c>
      <c r="X3" s="39">
        <f>V3 + (V3 * (SUBSTITUTE(SUBSTITUTE($X$2, "Pessimistic (", ""), "%)", "") / 100))</f>
        <v/>
      </c>
      <c r="Y3" s="79">
        <f>(W3+(4*V3)+X3)/6</f>
        <v/>
      </c>
      <c r="Z3" s="169">
        <f>Y3/2</f>
        <v/>
      </c>
      <c r="AA3" s="180" t="n"/>
      <c r="AB3" s="180" t="n"/>
      <c r="AC3" s="180" t="n"/>
      <c r="AD3" s="181" t="n"/>
      <c r="AE3" s="200">
        <f>IF($Z3="",0,IF($M3="",0,$M3))</f>
        <v/>
      </c>
      <c r="AF3" s="200">
        <f>IF(OR($Z3="",$N3=""),0,$Z3*5%)</f>
        <v/>
      </c>
      <c r="AG3" s="200">
        <f>IF(OR($Z3="",$O3=""),0,$Z3*10%)</f>
        <v/>
      </c>
      <c r="AH3" s="200">
        <f>IF($Z3="",0,IF(AND($P3="",$Q3=""),($Z3-$AE3-$AF3-$AG3-$AJ3-$AK3-$AL3-$AM3-$AN3),IF($P3="",0,IF($Q3="",($Z3-$AE3-$AF3-$AG3-$AJ3-$AK3-$AL3-$AM3-$AN3),($Z3-$AE3-$AF3-$AG3-$AJ3-$AK3-$AL3-$AM3-$AN3)*40%/(40%+15%)))))</f>
        <v/>
      </c>
      <c r="AI3" s="200">
        <f>IF($Z3="",0,IF(AND($P3="",$Q3=""),0,IF($Q3="",0,IF($P3="",($Z3-$AE3-$AF3-$AG3-$AJ3-$AK3-$AL3-$AM3-$AN3),($Z3-$AE3-$AF3-$AG3-$AJ3-$AK3-$AL3-$AM3-$AN3)*15%/(40%+15%)))))</f>
        <v/>
      </c>
      <c r="AJ3" s="282">
        <f>IF($Z3="",0,$Z3*15%)</f>
        <v/>
      </c>
      <c r="AK3" s="200">
        <f>IF($Z3="",0,IF($R3="",0,$R3))</f>
        <v/>
      </c>
      <c r="AL3" s="200">
        <f>IF(OR($Z3="",$S3=""),0,$Z3*5%)</f>
        <v/>
      </c>
      <c r="AM3" s="200">
        <f>IF(OR($Z3="",$T3=""),0,$Z3*10%)</f>
        <v/>
      </c>
      <c r="AN3" s="200">
        <f>IF($Z3="",0,IF($U3="",0,$U3))</f>
        <v/>
      </c>
    </row>
    <row r="4" ht="18" customHeight="1" s="300">
      <c r="A4" s="84">
        <f>IF(D4="","",A3+1)</f>
        <v/>
      </c>
      <c r="B4" s="306" t="n"/>
      <c r="C4" s="306" t="n"/>
      <c r="D4" s="105" t="inlineStr">
        <is>
          <t>Alsons Data Compatibility POC with FintechFuel - (41h)</t>
        </is>
      </c>
      <c r="E4" s="234" t="n"/>
      <c r="F4" s="85" t="inlineStr">
        <is>
          <t>PGL</t>
        </is>
      </c>
      <c r="G4" s="89" t="n"/>
      <c r="H4" s="70" t="n"/>
      <c r="I4" s="70" t="n"/>
      <c r="J4" s="70" t="n"/>
      <c r="K4" s="70" t="n"/>
      <c r="L4" s="70" t="n"/>
      <c r="M4" s="305" t="n"/>
      <c r="N4" s="305" t="n"/>
      <c r="O4" s="305" t="n">
        <v>5</v>
      </c>
      <c r="P4" s="305" t="n">
        <v>48</v>
      </c>
      <c r="Q4" s="305" t="n">
        <v>15</v>
      </c>
      <c r="R4" s="305" t="n"/>
      <c r="S4" s="305" t="n"/>
      <c r="T4" s="305" t="n"/>
      <c r="U4" s="305" t="n">
        <v>2</v>
      </c>
      <c r="V4" s="78">
        <f>SUM(M4:U4)</f>
        <v/>
      </c>
      <c r="W4" s="39">
        <f>V4 - (V4 * (SUBSTITUTE(SUBSTITUTE($W$2, "Optimistic (", ""), "%)", "") / 100))</f>
        <v/>
      </c>
      <c r="X4" s="39">
        <f>V4 + (V4 * (SUBSTITUTE(SUBSTITUTE($X$2, "Pessimistic (", ""), "%)", "") / 100))</f>
        <v/>
      </c>
      <c r="Y4" s="79">
        <f>(W4+(4*V4)+X4)/6</f>
        <v/>
      </c>
      <c r="Z4" s="169">
        <f>Y4/2</f>
        <v/>
      </c>
      <c r="AA4" s="180" t="n"/>
      <c r="AB4" s="180" t="n"/>
      <c r="AC4" s="180" t="n"/>
      <c r="AD4" s="181" t="n"/>
      <c r="AE4" s="200">
        <f>IF($Z4="",0,IF($M4="",0,$M4))</f>
        <v/>
      </c>
      <c r="AF4" s="200">
        <f>IF(OR($Z4="",$N4=""),0,$Z4*5%)</f>
        <v/>
      </c>
      <c r="AG4" s="200">
        <f>IF(OR($Z4="",$O4=""),0,$Z4*10%)</f>
        <v/>
      </c>
      <c r="AH4" s="200">
        <f>IF($Z4="",0,IF(AND($P4="",$Q4=""),($Z4-$AE4-$AF4-$AG4-$AJ4-$AK4-$AL4-$AM4-$AN4),IF($P4="",0,IF($Q4="",($Z4-$AE4-$AF4-$AG4-$AJ4-$AK4-$AL4-$AM4-$AN4),($Z4-$AE4-$AF4-$AG4-$AJ4-$AK4-$AL4-$AM4-$AN4)*40%/(40%+15%)))))</f>
        <v/>
      </c>
      <c r="AI4" s="200">
        <f>IF($Z4="",0,IF(AND($P4="",$Q4=""),0,IF($Q4="",0,IF($P4="",($Z4-$AE4-$AF4-$AG4-$AJ4-$AK4-$AL4-$AM4-$AN4),($Z4-$AE4-$AF4-$AG4-$AJ4-$AK4-$AL4-$AM4-$AN4)*15%/(40%+15%)))))</f>
        <v/>
      </c>
      <c r="AJ4" s="282">
        <f>IF($Z4="",0,$Z4*15%)</f>
        <v/>
      </c>
      <c r="AK4" s="200">
        <f>IF($Z4="",0,IF($R4="",0,$R4))</f>
        <v/>
      </c>
      <c r="AL4" s="200">
        <f>IF(OR($Z4="",$S4=""),0,$Z4*5%)</f>
        <v/>
      </c>
      <c r="AM4" s="200">
        <f>IF(OR($Z4="",$T4=""),0,$Z4*10%)</f>
        <v/>
      </c>
      <c r="AN4" s="200">
        <f>IF($Z4="",0,IF($U4="",0,$U4))</f>
        <v/>
      </c>
    </row>
    <row r="5" hidden="1" ht="18" customHeight="1" s="300">
      <c r="A5" s="84" t="n"/>
      <c r="B5" s="307" t="n"/>
      <c r="C5" s="307" t="n"/>
      <c r="D5" s="105" t="inlineStr">
        <is>
          <t>Alsons Integration with FintechFuel</t>
        </is>
      </c>
      <c r="E5" s="234" t="n"/>
      <c r="F5" s="85" t="inlineStr">
        <is>
          <t>RnD</t>
        </is>
      </c>
      <c r="G5" s="89" t="n"/>
      <c r="H5" s="70" t="n"/>
      <c r="I5" s="70" t="n"/>
      <c r="J5" s="70" t="n"/>
      <c r="K5" s="70" t="n"/>
      <c r="L5" s="70" t="n"/>
      <c r="M5" s="305" t="n"/>
      <c r="N5" s="305" t="n">
        <v>0</v>
      </c>
      <c r="O5" s="305" t="n">
        <v>0</v>
      </c>
      <c r="P5" s="305" t="n">
        <v>23</v>
      </c>
      <c r="Q5" s="305" t="n">
        <v>15</v>
      </c>
      <c r="R5" s="305" t="n"/>
      <c r="S5" s="305" t="n">
        <v>5</v>
      </c>
      <c r="T5" s="305" t="n">
        <v>15</v>
      </c>
      <c r="U5" s="305" t="n">
        <v>2</v>
      </c>
      <c r="V5" s="78">
        <f>SUM(M5:U5)</f>
        <v/>
      </c>
      <c r="W5" s="39">
        <f>V5 - (V5 * (SUBSTITUTE(SUBSTITUTE($W$2, "Optimistic (", ""), "%)", "") / 100))</f>
        <v/>
      </c>
      <c r="X5" s="39">
        <f>V5 + (V5 * (SUBSTITUTE(SUBSTITUTE($X$2, "Pessimistic (", ""), "%)", "") / 100))</f>
        <v/>
      </c>
      <c r="Y5" s="79">
        <f>(W5+(4*V5)+X5)/6</f>
        <v/>
      </c>
      <c r="Z5" s="169">
        <f>Y5/2</f>
        <v/>
      </c>
      <c r="AA5" s="179" t="n">
        <v>46111</v>
      </c>
      <c r="AB5" s="179" t="n">
        <v>46126</v>
      </c>
      <c r="AC5" s="179" t="n">
        <v>46127</v>
      </c>
      <c r="AD5" s="179" t="n">
        <v>46148</v>
      </c>
      <c r="AE5" s="200">
        <f>IF($Z5="",0,IF($M5="",0,$M5))</f>
        <v/>
      </c>
      <c r="AF5" s="200">
        <f>IF(OR($Z5="",$N5=""),0,$Z5*5%)</f>
        <v/>
      </c>
      <c r="AG5" s="200">
        <f>IF(OR($Z5="",$O5=""),0,$Z5*10%)</f>
        <v/>
      </c>
      <c r="AH5" s="200">
        <f>IF($Z5="",0,IF(AND($P5="",$Q5=""),($Z5-$AE5-$AF5-$AG5-$AJ5-$AK5-$AL5-$AM5-$AN5),IF($P5="",0,IF($Q5="",($Z5-$AE5-$AF5-$AG5-$AJ5-$AK5-$AL5-$AM5-$AN5),($Z5-$AE5-$AF5-$AG5-$AJ5-$AK5-$AL5-$AM5-$AN5)*40%/(40%+15%)))))</f>
        <v/>
      </c>
      <c r="AI5" s="200">
        <f>IF($Z5="",0,IF(AND($P5="",$Q5=""),0,IF($Q5="",0,IF($P5="",($Z5-$AE5-$AF5-$AG5-$AJ5-$AK5-$AL5-$AM5-$AN5),($Z5-$AE5-$AF5-$AG5-$AJ5-$AK5-$AL5-$AM5-$AN5)*15%/(40%+15%)))))</f>
        <v/>
      </c>
      <c r="AJ5" s="282">
        <f>IF($Z5="",0,$Z5*15%)</f>
        <v/>
      </c>
      <c r="AK5" s="200">
        <f>IF($Z5="",0,IF($R5="",0,$R5))</f>
        <v/>
      </c>
      <c r="AL5" s="200">
        <f>IF(OR($Z5="",$S5=""),0,$Z5*5%)</f>
        <v/>
      </c>
      <c r="AM5" s="200">
        <f>IF(OR($Z5="",$T5=""),0,$Z5*10%)</f>
        <v/>
      </c>
      <c r="AN5" s="200">
        <f>IF($Z5="",0,IF($U5="",0,$U5))</f>
        <v/>
      </c>
    </row>
    <row r="6" ht="18" customHeight="1" s="300">
      <c r="A6" s="84">
        <f>IF(D6="","",A4+1)</f>
        <v/>
      </c>
      <c r="B6" s="310" t="inlineStr">
        <is>
          <t>Enrichment</t>
        </is>
      </c>
      <c r="C6" s="310" t="inlineStr">
        <is>
          <t>Business Alarms</t>
        </is>
      </c>
      <c r="D6" s="106" t="inlineStr">
        <is>
          <t>Configurable alert thresholds and Recipients (done)</t>
        </is>
      </c>
      <c r="E6" s="235" t="n"/>
      <c r="F6" s="85" t="inlineStr">
        <is>
          <t>PGL</t>
        </is>
      </c>
      <c r="G6" s="89" t="n"/>
      <c r="H6" s="70" t="n"/>
      <c r="I6" s="70" t="n"/>
      <c r="J6" s="70" t="n"/>
      <c r="K6" s="70" t="n"/>
      <c r="L6" s="70" t="n"/>
      <c r="M6" s="305" t="n"/>
      <c r="N6" s="305" t="n"/>
      <c r="O6" s="305" t="n">
        <v>15</v>
      </c>
      <c r="P6" s="305" t="n">
        <v>32</v>
      </c>
      <c r="Q6" s="305" t="n">
        <v>7</v>
      </c>
      <c r="R6" s="305" t="n"/>
      <c r="S6" s="305" t="n">
        <v>4</v>
      </c>
      <c r="T6" s="305" t="n">
        <v>6</v>
      </c>
      <c r="U6" s="305" t="n">
        <v>2</v>
      </c>
      <c r="V6" s="78">
        <f>SUM(M6:U6)</f>
        <v/>
      </c>
      <c r="W6" s="39">
        <f>V6 - (V6 * (SUBSTITUTE(SUBSTITUTE($W$2, "Optimistic (", ""), "%)", "") / 100))</f>
        <v/>
      </c>
      <c r="X6" s="39">
        <f>V6 + (V6 * (SUBSTITUTE(SUBSTITUTE($X$2, "Pessimistic (", ""), "%)", "") / 100))</f>
        <v/>
      </c>
      <c r="Y6" s="79">
        <f>(W6+(4*V6)+X6)/6</f>
        <v/>
      </c>
      <c r="Z6" s="169">
        <f>Y6/2</f>
        <v/>
      </c>
      <c r="AA6" s="180" t="n"/>
      <c r="AB6" s="180" t="n"/>
      <c r="AC6" s="180" t="n"/>
      <c r="AD6" s="181" t="n"/>
      <c r="AE6" s="200">
        <f>IF($Z6="",0,IF($M6="",0,$M6))</f>
        <v/>
      </c>
      <c r="AF6" s="200">
        <f>IF(OR($Z6="",$N6=""),0,$Z6*5%)</f>
        <v/>
      </c>
      <c r="AG6" s="200">
        <f>IF(OR($Z6="",$O6=""),0,$Z6*10%)</f>
        <v/>
      </c>
      <c r="AH6" s="200">
        <f>IF($Z6="",0,IF(AND($P6="",$Q6=""),($Z6-$AE6-$AF6-$AG6-$AJ6-$AK6-$AL6-$AM6-$AN6),IF($P6="",0,IF($Q6="",($Z6-$AE6-$AF6-$AG6-$AJ6-$AK6-$AL6-$AM6-$AN6),($Z6-$AE6-$AF6-$AG6-$AJ6-$AK6-$AL6-$AM6-$AN6)*40%/(40%+15%)))))</f>
        <v/>
      </c>
      <c r="AI6" s="200">
        <f>IF($Z6="",0,IF(AND($P6="",$Q6=""),0,IF($Q6="",0,IF($P6="",($Z6-$AE6-$AF6-$AG6-$AJ6-$AK6-$AL6-$AM6-$AN6),($Z6-$AE6-$AF6-$AG6-$AJ6-$AK6-$AL6-$AM6-$AN6)*15%/(40%+15%)))))</f>
        <v/>
      </c>
      <c r="AJ6" s="282">
        <f>IF($Z6="",0,$Z6*15%)</f>
        <v/>
      </c>
      <c r="AK6" s="200">
        <f>IF($Z6="",0,IF($R6="",0,$R6))</f>
        <v/>
      </c>
      <c r="AL6" s="200">
        <f>IF(OR($Z6="",$S6=""),0,$Z6*5%)</f>
        <v/>
      </c>
      <c r="AM6" s="200">
        <f>IF(OR($Z6="",$T6=""),0,$Z6*10%)</f>
        <v/>
      </c>
      <c r="AN6" s="200">
        <f>IF($Z6="",0,IF($U6="",0,$U6))</f>
        <v/>
      </c>
    </row>
    <row r="7" ht="18" customHeight="1" s="300">
      <c r="A7" s="84">
        <f>IF(D7="","",A6+1)</f>
        <v/>
      </c>
      <c r="B7" s="306" t="n"/>
      <c r="C7" s="306" t="n"/>
      <c r="D7" s="94" t="inlineStr">
        <is>
          <t>Leak and theft alerts</t>
        </is>
      </c>
      <c r="E7" s="236" t="n"/>
      <c r="F7" s="85" t="inlineStr">
        <is>
          <t>PGL</t>
        </is>
      </c>
      <c r="G7" s="89" t="n"/>
      <c r="H7" s="70" t="n"/>
      <c r="I7" s="70" t="n"/>
      <c r="J7" s="70" t="n"/>
      <c r="K7" s="70" t="n"/>
      <c r="L7" s="70" t="n"/>
      <c r="M7" s="305" t="n"/>
      <c r="N7" s="305" t="n"/>
      <c r="O7" s="305" t="n">
        <v>3</v>
      </c>
      <c r="P7" s="305" t="n">
        <v>5</v>
      </c>
      <c r="Q7" s="305" t="n">
        <v>3</v>
      </c>
      <c r="R7" s="305" t="n"/>
      <c r="S7" s="305" t="n">
        <v>1</v>
      </c>
      <c r="T7" s="305" t="n">
        <v>5</v>
      </c>
      <c r="U7" s="305" t="n">
        <v>2</v>
      </c>
      <c r="V7" s="78">
        <f>SUM(M7:U7)</f>
        <v/>
      </c>
      <c r="W7" s="39">
        <f>V7 - (V7 * (SUBSTITUTE(SUBSTITUTE($W$2, "Optimistic (", ""), "%)", "") / 100))</f>
        <v/>
      </c>
      <c r="X7" s="39">
        <f>V7 + (V7 * (SUBSTITUTE(SUBSTITUTE($X$2, "Pessimistic (", ""), "%)", "") / 100))</f>
        <v/>
      </c>
      <c r="Y7" s="79">
        <f>(W7+(4*V7)+X7)/6</f>
        <v/>
      </c>
      <c r="Z7" s="169">
        <f>Y7/2</f>
        <v/>
      </c>
      <c r="AA7" s="180" t="n"/>
      <c r="AB7" s="180" t="n"/>
      <c r="AC7" s="180" t="n"/>
      <c r="AD7" s="181" t="n"/>
      <c r="AE7" s="200">
        <f>IF($Z7="",0,IF($M7="",0,$M7))</f>
        <v/>
      </c>
      <c r="AF7" s="200">
        <f>IF(OR($Z7="",$N7=""),0,$Z7*5%)</f>
        <v/>
      </c>
      <c r="AG7" s="200">
        <f>IF(OR($Z7="",$O7=""),0,$Z7*10%)</f>
        <v/>
      </c>
      <c r="AH7" s="200">
        <f>IF($Z7="",0,IF(AND($P7="",$Q7=""),($Z7-$AE7-$AF7-$AG7-$AJ7-$AK7-$AL7-$AM7-$AN7),IF($P7="",0,IF($Q7="",($Z7-$AE7-$AF7-$AG7-$AJ7-$AK7-$AL7-$AM7-$AN7),($Z7-$AE7-$AF7-$AG7-$AJ7-$AK7-$AL7-$AM7-$AN7)*40%/(40%+15%)))))</f>
        <v/>
      </c>
      <c r="AI7" s="200">
        <f>IF($Z7="",0,IF(AND($P7="",$Q7=""),0,IF($Q7="",0,IF($P7="",($Z7-$AE7-$AF7-$AG7-$AJ7-$AK7-$AL7-$AM7-$AN7),($Z7-$AE7-$AF7-$AG7-$AJ7-$AK7-$AL7-$AM7-$AN7)*15%/(40%+15%)))))</f>
        <v/>
      </c>
      <c r="AJ7" s="282">
        <f>IF($Z7="",0,$Z7*15%)</f>
        <v/>
      </c>
      <c r="AK7" s="200">
        <f>IF($Z7="",0,IF($R7="",0,$R7))</f>
        <v/>
      </c>
      <c r="AL7" s="200">
        <f>IF(OR($Z7="",$S7=""),0,$Z7*5%)</f>
        <v/>
      </c>
      <c r="AM7" s="200">
        <f>IF(OR($Z7="",$T7=""),0,$Z7*10%)</f>
        <v/>
      </c>
      <c r="AN7" s="200">
        <f>IF($Z7="",0,IF($U7="",0,$U7))</f>
        <v/>
      </c>
    </row>
    <row r="8" ht="18" customHeight="1" s="300">
      <c r="A8" s="84">
        <f>IF(D8="","",A7+1)</f>
        <v/>
      </c>
      <c r="B8" s="306" t="n"/>
      <c r="C8" s="306" t="n"/>
      <c r="D8" s="94" t="inlineStr">
        <is>
          <t>Theft detection (internal/external)</t>
        </is>
      </c>
      <c r="E8" s="236" t="n"/>
      <c r="F8" s="85" t="inlineStr">
        <is>
          <t>PGL</t>
        </is>
      </c>
      <c r="G8" s="89" t="n"/>
      <c r="H8" s="70" t="n"/>
      <c r="I8" s="70" t="n"/>
      <c r="J8" s="70" t="n"/>
      <c r="K8" s="70" t="n"/>
      <c r="L8" s="70" t="n"/>
      <c r="M8" s="305" t="n"/>
      <c r="N8" s="305" t="n"/>
      <c r="O8" s="305" t="n">
        <v>3</v>
      </c>
      <c r="P8" s="305" t="n">
        <v>5</v>
      </c>
      <c r="Q8" s="305" t="n">
        <v>3</v>
      </c>
      <c r="R8" s="305" t="n"/>
      <c r="S8" s="305" t="n">
        <v>1</v>
      </c>
      <c r="T8" s="305" t="n">
        <v>5</v>
      </c>
      <c r="U8" s="305" t="n">
        <v>2</v>
      </c>
      <c r="V8" s="78">
        <f>SUM(M8:U8)</f>
        <v/>
      </c>
      <c r="W8" s="39">
        <f>V8 - (V8 * (SUBSTITUTE(SUBSTITUTE($W$2, "Optimistic (", ""), "%)", "") / 100))</f>
        <v/>
      </c>
      <c r="X8" s="39">
        <f>V8 + (V8 * (SUBSTITUTE(SUBSTITUTE($X$2, "Pessimistic (", ""), "%)", "") / 100))</f>
        <v/>
      </c>
      <c r="Y8" s="79">
        <f>(W8+(4*V8)+X8)/6</f>
        <v/>
      </c>
      <c r="Z8" s="169">
        <f>Y8/2</f>
        <v/>
      </c>
      <c r="AA8" s="180" t="n"/>
      <c r="AB8" s="180" t="n"/>
      <c r="AC8" s="180" t="n"/>
      <c r="AD8" s="181" t="n"/>
      <c r="AE8" s="200">
        <f>IF($Z8="",0,IF($M8="",0,$M8))</f>
        <v/>
      </c>
      <c r="AF8" s="200">
        <f>IF(OR($Z8="",$N8=""),0,$Z8*5%)</f>
        <v/>
      </c>
      <c r="AG8" s="200">
        <f>IF(OR($Z8="",$O8=""),0,$Z8*10%)</f>
        <v/>
      </c>
      <c r="AH8" s="200">
        <f>IF($Z8="",0,IF(AND($P8="",$Q8=""),($Z8-$AE8-$AF8-$AG8-$AJ8-$AK8-$AL8-$AM8-$AN8),IF($P8="",0,IF($Q8="",($Z8-$AE8-$AF8-$AG8-$AJ8-$AK8-$AL8-$AM8-$AN8),($Z8-$AE8-$AF8-$AG8-$AJ8-$AK8-$AL8-$AM8-$AN8)*40%/(40%+15%)))))</f>
        <v/>
      </c>
      <c r="AI8" s="200">
        <f>IF($Z8="",0,IF(AND($P8="",$Q8=""),0,IF($Q8="",0,IF($P8="",($Z8-$AE8-$AF8-$AG8-$AJ8-$AK8-$AL8-$AM8-$AN8),($Z8-$AE8-$AF8-$AG8-$AJ8-$AK8-$AL8-$AM8-$AN8)*15%/(40%+15%)))))</f>
        <v/>
      </c>
      <c r="AJ8" s="282">
        <f>IF($Z8="",0,$Z8*15%)</f>
        <v/>
      </c>
      <c r="AK8" s="200">
        <f>IF($Z8="",0,IF($R8="",0,$R8))</f>
        <v/>
      </c>
      <c r="AL8" s="200">
        <f>IF(OR($Z8="",$S8=""),0,$Z8*5%)</f>
        <v/>
      </c>
      <c r="AM8" s="200">
        <f>IF(OR($Z8="",$T8=""),0,$Z8*10%)</f>
        <v/>
      </c>
      <c r="AN8" s="200">
        <f>IF($Z8="",0,IF($U8="",0,$U8))</f>
        <v/>
      </c>
    </row>
    <row r="9" ht="18" customHeight="1" s="300">
      <c r="A9" s="84">
        <f>IF(D9="","",A8+1)</f>
        <v/>
      </c>
      <c r="B9" s="306" t="n"/>
      <c r="C9" s="306" t="n"/>
      <c r="D9" s="94" t="inlineStr">
        <is>
          <t>Nozzle bypass detection</t>
        </is>
      </c>
      <c r="E9" s="236" t="n"/>
      <c r="F9" s="85" t="inlineStr">
        <is>
          <t>PGL</t>
        </is>
      </c>
      <c r="G9" s="89" t="n"/>
      <c r="H9" s="70" t="n"/>
      <c r="I9" s="70" t="n"/>
      <c r="J9" s="70" t="n"/>
      <c r="K9" s="70" t="n"/>
      <c r="L9" s="70" t="n"/>
      <c r="M9" s="305" t="n"/>
      <c r="N9" s="305" t="n"/>
      <c r="O9" s="305" t="n">
        <v>3</v>
      </c>
      <c r="P9" s="305" t="n">
        <v>5</v>
      </c>
      <c r="Q9" s="305" t="n">
        <v>3</v>
      </c>
      <c r="R9" s="305" t="n"/>
      <c r="S9" s="305" t="n">
        <v>1</v>
      </c>
      <c r="T9" s="305" t="n">
        <v>5</v>
      </c>
      <c r="U9" s="305" t="n">
        <v>2</v>
      </c>
      <c r="V9" s="78">
        <f>SUM(M9:U9)</f>
        <v/>
      </c>
      <c r="W9" s="39">
        <f>V9 - (V9 * (SUBSTITUTE(SUBSTITUTE($W$2, "Optimistic (", ""), "%)", "") / 100))</f>
        <v/>
      </c>
      <c r="X9" s="39">
        <f>V9 + (V9 * (SUBSTITUTE(SUBSTITUTE($X$2, "Pessimistic (", ""), "%)", "") / 100))</f>
        <v/>
      </c>
      <c r="Y9" s="79">
        <f>(W9+(4*V9)+X9)/6</f>
        <v/>
      </c>
      <c r="Z9" s="169">
        <f>Y9/2</f>
        <v/>
      </c>
      <c r="AA9" s="180" t="n"/>
      <c r="AB9" s="180" t="n"/>
      <c r="AC9" s="180" t="n"/>
      <c r="AD9" s="181" t="n"/>
      <c r="AE9" s="200">
        <f>IF($Z9="",0,IF($M9="",0,$M9))</f>
        <v/>
      </c>
      <c r="AF9" s="200">
        <f>IF(OR($Z9="",$N9=""),0,$Z9*5%)</f>
        <v/>
      </c>
      <c r="AG9" s="200">
        <f>IF(OR($Z9="",$O9=""),0,$Z9*10%)</f>
        <v/>
      </c>
      <c r="AH9" s="200">
        <f>IF($Z9="",0,IF(AND($P9="",$Q9=""),($Z9-$AE9-$AF9-$AG9-$AJ9-$AK9-$AL9-$AM9-$AN9),IF($P9="",0,IF($Q9="",($Z9-$AE9-$AF9-$AG9-$AJ9-$AK9-$AL9-$AM9-$AN9),($Z9-$AE9-$AF9-$AG9-$AJ9-$AK9-$AL9-$AM9-$AN9)*40%/(40%+15%)))))</f>
        <v/>
      </c>
      <c r="AI9" s="200">
        <f>IF($Z9="",0,IF(AND($P9="",$Q9=""),0,IF($Q9="",0,IF($P9="",($Z9-$AE9-$AF9-$AG9-$AJ9-$AK9-$AL9-$AM9-$AN9),($Z9-$AE9-$AF9-$AG9-$AJ9-$AK9-$AL9-$AM9-$AN9)*15%/(40%+15%)))))</f>
        <v/>
      </c>
      <c r="AJ9" s="282">
        <f>IF($Z9="",0,$Z9*15%)</f>
        <v/>
      </c>
      <c r="AK9" s="200">
        <f>IF($Z9="",0,IF($R9="",0,$R9))</f>
        <v/>
      </c>
      <c r="AL9" s="200">
        <f>IF(OR($Z9="",$S9=""),0,$Z9*5%)</f>
        <v/>
      </c>
      <c r="AM9" s="200">
        <f>IF(OR($Z9="",$T9=""),0,$Z9*10%)</f>
        <v/>
      </c>
      <c r="AN9" s="200">
        <f>IF($Z9="",0,IF($U9="",0,$U9))</f>
        <v/>
      </c>
    </row>
    <row r="10" ht="18" customHeight="1" s="300">
      <c r="A10" s="84">
        <f>IF(D10="","",A9+1)</f>
        <v/>
      </c>
      <c r="B10" s="306" t="n"/>
      <c r="C10" s="306" t="n"/>
      <c r="D10" s="94" t="inlineStr">
        <is>
          <t>Calibration drift alerts</t>
        </is>
      </c>
      <c r="E10" s="236" t="n"/>
      <c r="F10" s="85" t="inlineStr">
        <is>
          <t>PGL</t>
        </is>
      </c>
      <c r="G10" s="89" t="n"/>
      <c r="H10" s="70" t="n"/>
      <c r="I10" s="70" t="n"/>
      <c r="J10" s="70" t="n"/>
      <c r="K10" s="70" t="n"/>
      <c r="L10" s="70" t="n"/>
      <c r="M10" s="305" t="n"/>
      <c r="N10" s="305" t="n"/>
      <c r="O10" s="305" t="n">
        <v>3</v>
      </c>
      <c r="P10" s="305" t="n">
        <v>5</v>
      </c>
      <c r="Q10" s="305" t="n">
        <v>3</v>
      </c>
      <c r="R10" s="305" t="n"/>
      <c r="S10" s="305" t="n">
        <v>1</v>
      </c>
      <c r="T10" s="305" t="n">
        <v>5</v>
      </c>
      <c r="U10" s="305" t="n">
        <v>2</v>
      </c>
      <c r="V10" s="78">
        <f>SUM(M10:U10)</f>
        <v/>
      </c>
      <c r="W10" s="39">
        <f>V10 - (V10 * (SUBSTITUTE(SUBSTITUTE($W$2, "Optimistic (", ""), "%)", "") / 100))</f>
        <v/>
      </c>
      <c r="X10" s="39">
        <f>V10 + (V10 * (SUBSTITUTE(SUBSTITUTE($X$2, "Pessimistic (", ""), "%)", "") / 100))</f>
        <v/>
      </c>
      <c r="Y10" s="79">
        <f>(W10+(4*V10)+X10)/6</f>
        <v/>
      </c>
      <c r="Z10" s="169">
        <f>Y10/2</f>
        <v/>
      </c>
      <c r="AA10" s="180" t="n"/>
      <c r="AB10" s="180" t="n"/>
      <c r="AC10" s="180" t="n"/>
      <c r="AD10" s="181" t="n"/>
      <c r="AE10" s="200">
        <f>IF($Z10="",0,IF($M10="",0,$M10))</f>
        <v/>
      </c>
      <c r="AF10" s="200">
        <f>IF(OR($Z10="",$N10=""),0,$Z10*5%)</f>
        <v/>
      </c>
      <c r="AG10" s="200">
        <f>IF(OR($Z10="",$O10=""),0,$Z10*10%)</f>
        <v/>
      </c>
      <c r="AH10" s="200">
        <f>IF($Z10="",0,IF(AND($P10="",$Q10=""),($Z10-$AE10-$AF10-$AG10-$AJ10-$AK10-$AL10-$AM10-$AN10),IF($P10="",0,IF($Q10="",($Z10-$AE10-$AF10-$AG10-$AJ10-$AK10-$AL10-$AM10-$AN10),($Z10-$AE10-$AF10-$AG10-$AJ10-$AK10-$AL10-$AM10-$AN10)*40%/(40%+15%)))))</f>
        <v/>
      </c>
      <c r="AI10" s="200">
        <f>IF($Z10="",0,IF(AND($P10="",$Q10=""),0,IF($Q10="",0,IF($P10="",($Z10-$AE10-$AF10-$AG10-$AJ10-$AK10-$AL10-$AM10-$AN10),($Z10-$AE10-$AF10-$AG10-$AJ10-$AK10-$AL10-$AM10-$AN10)*15%/(40%+15%)))))</f>
        <v/>
      </c>
      <c r="AJ10" s="282">
        <f>IF($Z10="",0,$Z10*15%)</f>
        <v/>
      </c>
      <c r="AK10" s="200">
        <f>IF($Z10="",0,IF($R10="",0,$R10))</f>
        <v/>
      </c>
      <c r="AL10" s="200">
        <f>IF(OR($Z10="",$S10=""),0,$Z10*5%)</f>
        <v/>
      </c>
      <c r="AM10" s="200">
        <f>IF(OR($Z10="",$T10=""),0,$Z10*10%)</f>
        <v/>
      </c>
      <c r="AN10" s="200">
        <f>IF($Z10="",0,IF($U10="",0,$U10))</f>
        <v/>
      </c>
    </row>
    <row r="11" ht="18" customHeight="1" s="300">
      <c r="A11" s="84">
        <f>IF(D11="","",A10+1)</f>
        <v/>
      </c>
      <c r="B11" s="306" t="n"/>
      <c r="C11" s="306" t="n"/>
      <c r="D11" s="94" t="inlineStr">
        <is>
          <t>Sensor malfunction alerts</t>
        </is>
      </c>
      <c r="E11" s="236" t="n"/>
      <c r="F11" s="85" t="inlineStr">
        <is>
          <t>PGL</t>
        </is>
      </c>
      <c r="G11" s="89" t="n"/>
      <c r="H11" s="70" t="n"/>
      <c r="I11" s="70" t="n"/>
      <c r="J11" s="70" t="n"/>
      <c r="K11" s="70" t="n"/>
      <c r="L11" s="70" t="n"/>
      <c r="M11" s="305" t="n"/>
      <c r="N11" s="305" t="n"/>
      <c r="O11" s="305" t="n">
        <v>3</v>
      </c>
      <c r="P11" s="305" t="n">
        <v>5</v>
      </c>
      <c r="Q11" s="305" t="n">
        <v>3</v>
      </c>
      <c r="R11" s="305" t="n"/>
      <c r="S11" s="305" t="n">
        <v>1</v>
      </c>
      <c r="T11" s="305" t="n">
        <v>5</v>
      </c>
      <c r="U11" s="305" t="n">
        <v>2</v>
      </c>
      <c r="V11" s="78">
        <f>SUM(M11:U11)</f>
        <v/>
      </c>
      <c r="W11" s="39">
        <f>V11 - (V11 * (SUBSTITUTE(SUBSTITUTE($W$2, "Optimistic (", ""), "%)", "") / 100))</f>
        <v/>
      </c>
      <c r="X11" s="39">
        <f>V11 + (V11 * (SUBSTITUTE(SUBSTITUTE($X$2, "Pessimistic (", ""), "%)", "") / 100))</f>
        <v/>
      </c>
      <c r="Y11" s="79">
        <f>(W11+(4*V11)+X11)/6</f>
        <v/>
      </c>
      <c r="Z11" s="169">
        <f>Y11/2</f>
        <v/>
      </c>
      <c r="AA11" s="180" t="n"/>
      <c r="AB11" s="180" t="n"/>
      <c r="AC11" s="180" t="n"/>
      <c r="AD11" s="181" t="n"/>
      <c r="AE11" s="200">
        <f>IF($Z11="",0,IF($M11="",0,$M11))</f>
        <v/>
      </c>
      <c r="AF11" s="200">
        <f>IF(OR($Z11="",$N11=""),0,$Z11*5%)</f>
        <v/>
      </c>
      <c r="AG11" s="200">
        <f>IF(OR($Z11="",$O11=""),0,$Z11*10%)</f>
        <v/>
      </c>
      <c r="AH11" s="200">
        <f>IF($Z11="",0,IF(AND($P11="",$Q11=""),($Z11-$AE11-$AF11-$AG11-$AJ11-$AK11-$AL11-$AM11-$AN11),IF($P11="",0,IF($Q11="",($Z11-$AE11-$AF11-$AG11-$AJ11-$AK11-$AL11-$AM11-$AN11),($Z11-$AE11-$AF11-$AG11-$AJ11-$AK11-$AL11-$AM11-$AN11)*40%/(40%+15%)))))</f>
        <v/>
      </c>
      <c r="AI11" s="200">
        <f>IF($Z11="",0,IF(AND($P11="",$Q11=""),0,IF($Q11="",0,IF($P11="",($Z11-$AE11-$AF11-$AG11-$AJ11-$AK11-$AL11-$AM11-$AN11),($Z11-$AE11-$AF11-$AG11-$AJ11-$AK11-$AL11-$AM11-$AN11)*15%/(40%+15%)))))</f>
        <v/>
      </c>
      <c r="AJ11" s="282">
        <f>IF($Z11="",0,$Z11*15%)</f>
        <v/>
      </c>
      <c r="AK11" s="200">
        <f>IF($Z11="",0,IF($R11="",0,$R11))</f>
        <v/>
      </c>
      <c r="AL11" s="200">
        <f>IF(OR($Z11="",$S11=""),0,$Z11*5%)</f>
        <v/>
      </c>
      <c r="AM11" s="200">
        <f>IF(OR($Z11="",$T11=""),0,$Z11*10%)</f>
        <v/>
      </c>
      <c r="AN11" s="200">
        <f>IF($Z11="",0,IF($U11="",0,$U11))</f>
        <v/>
      </c>
    </row>
    <row r="12" ht="18" customHeight="1" s="300">
      <c r="A12" s="84">
        <f>IF(D12="","",A11+1)</f>
        <v/>
      </c>
      <c r="B12" s="306" t="n"/>
      <c r="C12" s="306" t="n"/>
      <c r="D12" s="94" t="inlineStr">
        <is>
          <t>Unauthorized dispensing alerts</t>
        </is>
      </c>
      <c r="E12" s="236" t="n"/>
      <c r="F12" s="85" t="inlineStr">
        <is>
          <t>PGL</t>
        </is>
      </c>
      <c r="G12" s="89" t="n"/>
      <c r="H12" s="70" t="n"/>
      <c r="I12" s="70" t="n"/>
      <c r="J12" s="70" t="n"/>
      <c r="K12" s="70" t="n"/>
      <c r="L12" s="70" t="n"/>
      <c r="M12" s="305" t="n"/>
      <c r="N12" s="305" t="n"/>
      <c r="O12" s="305" t="n">
        <v>3</v>
      </c>
      <c r="P12" s="305" t="n">
        <v>5</v>
      </c>
      <c r="Q12" s="305" t="n">
        <v>3</v>
      </c>
      <c r="R12" s="305" t="n"/>
      <c r="S12" s="305" t="n">
        <v>1</v>
      </c>
      <c r="T12" s="305" t="n">
        <v>5</v>
      </c>
      <c r="U12" s="305" t="n">
        <v>2</v>
      </c>
      <c r="V12" s="78">
        <f>SUM(M12:U12)</f>
        <v/>
      </c>
      <c r="W12" s="39">
        <f>V12 - (V12 * (SUBSTITUTE(SUBSTITUTE($W$2, "Optimistic (", ""), "%)", "") / 100))</f>
        <v/>
      </c>
      <c r="X12" s="39">
        <f>V12 + (V12 * (SUBSTITUTE(SUBSTITUTE($X$2, "Pessimistic (", ""), "%)", "") / 100))</f>
        <v/>
      </c>
      <c r="Y12" s="79">
        <f>(W12+(4*V12)+X12)/6</f>
        <v/>
      </c>
      <c r="Z12" s="169">
        <f>Y12/2</f>
        <v/>
      </c>
      <c r="AA12" s="180" t="n"/>
      <c r="AB12" s="180" t="n"/>
      <c r="AC12" s="180" t="n"/>
      <c r="AD12" s="181" t="n"/>
      <c r="AE12" s="200">
        <f>IF($Z12="",0,IF($M12="",0,$M12))</f>
        <v/>
      </c>
      <c r="AF12" s="200">
        <f>IF(OR($Z12="",$N12=""),0,$Z12*5%)</f>
        <v/>
      </c>
      <c r="AG12" s="200">
        <f>IF(OR($Z12="",$O12=""),0,$Z12*10%)</f>
        <v/>
      </c>
      <c r="AH12" s="200">
        <f>IF($Z12="",0,IF(AND($P12="",$Q12=""),($Z12-$AE12-$AF12-$AG12-$AJ12-$AK12-$AL12-$AM12-$AN12),IF($P12="",0,IF($Q12="",($Z12-$AE12-$AF12-$AG12-$AJ12-$AK12-$AL12-$AM12-$AN12),($Z12-$AE12-$AF12-$AG12-$AJ12-$AK12-$AL12-$AM12-$AN12)*40%/(40%+15%)))))</f>
        <v/>
      </c>
      <c r="AI12" s="200">
        <f>IF($Z12="",0,IF(AND($P12="",$Q12=""),0,IF($Q12="",0,IF($P12="",($Z12-$AE12-$AF12-$AG12-$AJ12-$AK12-$AL12-$AM12-$AN12),($Z12-$AE12-$AF12-$AG12-$AJ12-$AK12-$AL12-$AM12-$AN12)*15%/(40%+15%)))))</f>
        <v/>
      </c>
      <c r="AJ12" s="282">
        <f>IF($Z12="",0,$Z12*15%)</f>
        <v/>
      </c>
      <c r="AK12" s="200">
        <f>IF($Z12="",0,IF($R12="",0,$R12))</f>
        <v/>
      </c>
      <c r="AL12" s="200">
        <f>IF(OR($Z12="",$S12=""),0,$Z12*5%)</f>
        <v/>
      </c>
      <c r="AM12" s="200">
        <f>IF(OR($Z12="",$T12=""),0,$Z12*10%)</f>
        <v/>
      </c>
      <c r="AN12" s="200">
        <f>IF($Z12="",0,IF($U12="",0,$U12))</f>
        <v/>
      </c>
    </row>
    <row r="13" ht="18" customHeight="1" s="300">
      <c r="A13" s="84">
        <f>IF(D13="","",A12+1)</f>
        <v/>
      </c>
      <c r="B13" s="306" t="n"/>
      <c r="C13" s="306" t="n"/>
      <c r="D13" s="94" t="inlineStr">
        <is>
          <t>Power outage detection</t>
        </is>
      </c>
      <c r="E13" s="236" t="n"/>
      <c r="F13" s="85" t="inlineStr">
        <is>
          <t>PGL</t>
        </is>
      </c>
      <c r="G13" s="89" t="n"/>
      <c r="H13" s="70" t="n"/>
      <c r="I13" s="70" t="n"/>
      <c r="J13" s="70" t="n"/>
      <c r="K13" s="70" t="n"/>
      <c r="L13" s="70" t="n"/>
      <c r="M13" s="305" t="n"/>
      <c r="N13" s="305" t="n"/>
      <c r="O13" s="305" t="n">
        <v>3</v>
      </c>
      <c r="P13" s="305" t="n">
        <v>5</v>
      </c>
      <c r="Q13" s="305" t="n">
        <v>3</v>
      </c>
      <c r="R13" s="305" t="n"/>
      <c r="S13" s="305" t="n">
        <v>1</v>
      </c>
      <c r="T13" s="305" t="n">
        <v>5</v>
      </c>
      <c r="U13" s="305" t="n">
        <v>2</v>
      </c>
      <c r="V13" s="78">
        <f>SUM(M13:U13)</f>
        <v/>
      </c>
      <c r="W13" s="39">
        <f>V13 - (V13 * (SUBSTITUTE(SUBSTITUTE($W$2, "Optimistic (", ""), "%)", "") / 100))</f>
        <v/>
      </c>
      <c r="X13" s="39">
        <f>V13 + (V13 * (SUBSTITUTE(SUBSTITUTE($X$2, "Pessimistic (", ""), "%)", "") / 100))</f>
        <v/>
      </c>
      <c r="Y13" s="79">
        <f>(W13+(4*V13)+X13)/6</f>
        <v/>
      </c>
      <c r="Z13" s="169">
        <f>Y13/2</f>
        <v/>
      </c>
      <c r="AA13" s="180" t="n"/>
      <c r="AB13" s="180" t="n"/>
      <c r="AC13" s="180" t="n"/>
      <c r="AD13" s="181" t="n"/>
      <c r="AE13" s="200">
        <f>IF($Z13="",0,IF($M13="",0,$M13))</f>
        <v/>
      </c>
      <c r="AF13" s="200">
        <f>IF(OR($Z13="",$N13=""),0,$Z13*5%)</f>
        <v/>
      </c>
      <c r="AG13" s="200">
        <f>IF(OR($Z13="",$O13=""),0,$Z13*10%)</f>
        <v/>
      </c>
      <c r="AH13" s="200">
        <f>IF($Z13="",0,IF(AND($P13="",$Q13=""),($Z13-$AE13-$AF13-$AG13-$AJ13-$AK13-$AL13-$AM13-$AN13),IF($P13="",0,IF($Q13="",($Z13-$AE13-$AF13-$AG13-$AJ13-$AK13-$AL13-$AM13-$AN13),($Z13-$AE13-$AF13-$AG13-$AJ13-$AK13-$AL13-$AM13-$AN13)*40%/(40%+15%)))))</f>
        <v/>
      </c>
      <c r="AI13" s="200">
        <f>IF($Z13="",0,IF(AND($P13="",$Q13=""),0,IF($Q13="",0,IF($P13="",($Z13-$AE13-$AF13-$AG13-$AJ13-$AK13-$AL13-$AM13-$AN13),($Z13-$AE13-$AF13-$AG13-$AJ13-$AK13-$AL13-$AM13-$AN13)*15%/(40%+15%)))))</f>
        <v/>
      </c>
      <c r="AJ13" s="282">
        <f>IF($Z13="",0,$Z13*15%)</f>
        <v/>
      </c>
      <c r="AK13" s="200">
        <f>IF($Z13="",0,IF($R13="",0,$R13))</f>
        <v/>
      </c>
      <c r="AL13" s="200">
        <f>IF(OR($Z13="",$S13=""),0,$Z13*5%)</f>
        <v/>
      </c>
      <c r="AM13" s="200">
        <f>IF(OR($Z13="",$T13=""),0,$Z13*10%)</f>
        <v/>
      </c>
      <c r="AN13" s="200">
        <f>IF($Z13="",0,IF($U13="",0,$U13))</f>
        <v/>
      </c>
    </row>
    <row r="14" ht="18" customHeight="1" s="300">
      <c r="A14" s="84">
        <f>IF(D14="","",A13+1)</f>
        <v/>
      </c>
      <c r="B14" s="306" t="n"/>
      <c r="C14" s="306" t="n"/>
      <c r="D14" s="94" t="inlineStr">
        <is>
          <t>Alert escalation workflows</t>
        </is>
      </c>
      <c r="E14" s="236" t="n"/>
      <c r="F14" s="85" t="inlineStr">
        <is>
          <t>PGL</t>
        </is>
      </c>
      <c r="G14" s="89" t="n"/>
      <c r="H14" s="70" t="n"/>
      <c r="I14" s="70" t="n"/>
      <c r="J14" s="70" t="n"/>
      <c r="K14" s="70" t="n"/>
      <c r="L14" s="70" t="n"/>
      <c r="M14" s="305" t="n"/>
      <c r="N14" s="305" t="n"/>
      <c r="O14" s="305" t="n">
        <v>3</v>
      </c>
      <c r="P14" s="305" t="n">
        <v>5</v>
      </c>
      <c r="Q14" s="305" t="n">
        <v>3</v>
      </c>
      <c r="R14" s="305" t="n"/>
      <c r="S14" s="305" t="n">
        <v>1</v>
      </c>
      <c r="T14" s="305" t="n">
        <v>5</v>
      </c>
      <c r="U14" s="305" t="n">
        <v>2</v>
      </c>
      <c r="V14" s="78">
        <f>SUM(M14:U14)</f>
        <v/>
      </c>
      <c r="W14" s="39">
        <f>V14 - (V14 * (SUBSTITUTE(SUBSTITUTE($W$2, "Optimistic (", ""), "%)", "") / 100))</f>
        <v/>
      </c>
      <c r="X14" s="39">
        <f>V14 + (V14 * (SUBSTITUTE(SUBSTITUTE($X$2, "Pessimistic (", ""), "%)", "") / 100))</f>
        <v/>
      </c>
      <c r="Y14" s="79">
        <f>(W14+(4*V14)+X14)/6</f>
        <v/>
      </c>
      <c r="Z14" s="169">
        <f>Y14/2</f>
        <v/>
      </c>
      <c r="AA14" s="180" t="n"/>
      <c r="AB14" s="180" t="n"/>
      <c r="AC14" s="180" t="n"/>
      <c r="AD14" s="181" t="n"/>
      <c r="AE14" s="200">
        <f>IF($Z14="",0,IF($M14="",0,$M14))</f>
        <v/>
      </c>
      <c r="AF14" s="200">
        <f>IF(OR($Z14="",$N14=""),0,$Z14*5%)</f>
        <v/>
      </c>
      <c r="AG14" s="200">
        <f>IF(OR($Z14="",$O14=""),0,$Z14*10%)</f>
        <v/>
      </c>
      <c r="AH14" s="200">
        <f>IF($Z14="",0,IF(AND($P14="",$Q14=""),($Z14-$AE14-$AF14-$AG14-$AJ14-$AK14-$AL14-$AM14-$AN14),IF($P14="",0,IF($Q14="",($Z14-$AE14-$AF14-$AG14-$AJ14-$AK14-$AL14-$AM14-$AN14),($Z14-$AE14-$AF14-$AG14-$AJ14-$AK14-$AL14-$AM14-$AN14)*40%/(40%+15%)))))</f>
        <v/>
      </c>
      <c r="AI14" s="200">
        <f>IF($Z14="",0,IF(AND($P14="",$Q14=""),0,IF($Q14="",0,IF($P14="",($Z14-$AE14-$AF14-$AG14-$AJ14-$AK14-$AL14-$AM14-$AN14),($Z14-$AE14-$AF14-$AG14-$AJ14-$AK14-$AL14-$AM14-$AN14)*15%/(40%+15%)))))</f>
        <v/>
      </c>
      <c r="AJ14" s="282">
        <f>IF($Z14="",0,$Z14*15%)</f>
        <v/>
      </c>
      <c r="AK14" s="200">
        <f>IF($Z14="",0,IF($R14="",0,$R14))</f>
        <v/>
      </c>
      <c r="AL14" s="200">
        <f>IF(OR($Z14="",$S14=""),0,$Z14*5%)</f>
        <v/>
      </c>
      <c r="AM14" s="200">
        <f>IF(OR($Z14="",$T14=""),0,$Z14*10%)</f>
        <v/>
      </c>
      <c r="AN14" s="200">
        <f>IF($Z14="",0,IF($U14="",0,$U14))</f>
        <v/>
      </c>
    </row>
    <row r="15" ht="18" customHeight="1" s="300">
      <c r="A15" s="84">
        <f>IF(D15="","",A14+1)</f>
        <v/>
      </c>
      <c r="B15" s="306" t="n"/>
      <c r="C15" s="306" t="n"/>
      <c r="D15" s="94" t="inlineStr">
        <is>
          <t>Alert acknowledgment and resolution tracking</t>
        </is>
      </c>
      <c r="E15" s="236" t="n"/>
      <c r="F15" s="85" t="inlineStr">
        <is>
          <t>PGL</t>
        </is>
      </c>
      <c r="G15" s="89" t="n"/>
      <c r="H15" s="70" t="n"/>
      <c r="I15" s="70" t="n"/>
      <c r="J15" s="70" t="n"/>
      <c r="K15" s="70" t="n"/>
      <c r="L15" s="70" t="n"/>
      <c r="M15" s="305" t="n"/>
      <c r="N15" s="305" t="n"/>
      <c r="O15" s="305" t="n">
        <v>3</v>
      </c>
      <c r="P15" s="305" t="n">
        <v>5</v>
      </c>
      <c r="Q15" s="305" t="n">
        <v>3</v>
      </c>
      <c r="R15" s="305" t="n"/>
      <c r="S15" s="305" t="n">
        <v>1</v>
      </c>
      <c r="T15" s="305" t="n">
        <v>5</v>
      </c>
      <c r="U15" s="305" t="n">
        <v>2</v>
      </c>
      <c r="V15" s="78">
        <f>SUM(M15:U15)</f>
        <v/>
      </c>
      <c r="W15" s="39">
        <f>V15 - (V15 * (SUBSTITUTE(SUBSTITUTE($W$2, "Optimistic (", ""), "%)", "") / 100))</f>
        <v/>
      </c>
      <c r="X15" s="39">
        <f>V15 + (V15 * (SUBSTITUTE(SUBSTITUTE($X$2, "Pessimistic (", ""), "%)", "") / 100))</f>
        <v/>
      </c>
      <c r="Y15" s="79">
        <f>(W15+(4*V15)+X15)/6</f>
        <v/>
      </c>
      <c r="Z15" s="169">
        <f>Y15/2</f>
        <v/>
      </c>
      <c r="AA15" s="180" t="n"/>
      <c r="AB15" s="180" t="n"/>
      <c r="AC15" s="180" t="n"/>
      <c r="AD15" s="181" t="n"/>
      <c r="AE15" s="200">
        <f>IF($Z15="",0,IF($M15="",0,$M15))</f>
        <v/>
      </c>
      <c r="AF15" s="200">
        <f>IF(OR($Z15="",$N15=""),0,$Z15*5%)</f>
        <v/>
      </c>
      <c r="AG15" s="200">
        <f>IF(OR($Z15="",$O15=""),0,$Z15*10%)</f>
        <v/>
      </c>
      <c r="AH15" s="200">
        <f>IF($Z15="",0,IF(AND($P15="",$Q15=""),($Z15-$AE15-$AF15-$AG15-$AJ15-$AK15-$AL15-$AM15-$AN15),IF($P15="",0,IF($Q15="",($Z15-$AE15-$AF15-$AG15-$AJ15-$AK15-$AL15-$AM15-$AN15),($Z15-$AE15-$AF15-$AG15-$AJ15-$AK15-$AL15-$AM15-$AN15)*40%/(40%+15%)))))</f>
        <v/>
      </c>
      <c r="AI15" s="200">
        <f>IF($Z15="",0,IF(AND($P15="",$Q15=""),0,IF($Q15="",0,IF($P15="",($Z15-$AE15-$AF15-$AG15-$AJ15-$AK15-$AL15-$AM15-$AN15),($Z15-$AE15-$AF15-$AG15-$AJ15-$AK15-$AL15-$AM15-$AN15)*15%/(40%+15%)))))</f>
        <v/>
      </c>
      <c r="AJ15" s="282">
        <f>IF($Z15="",0,$Z15*15%)</f>
        <v/>
      </c>
      <c r="AK15" s="200">
        <f>IF($Z15="",0,IF($R15="",0,$R15))</f>
        <v/>
      </c>
      <c r="AL15" s="200">
        <f>IF(OR($Z15="",$S15=""),0,$Z15*5%)</f>
        <v/>
      </c>
      <c r="AM15" s="200">
        <f>IF(OR($Z15="",$T15=""),0,$Z15*10%)</f>
        <v/>
      </c>
      <c r="AN15" s="200">
        <f>IF($Z15="",0,IF($U15="",0,$U15))</f>
        <v/>
      </c>
    </row>
    <row r="16" hidden="1" ht="18" customHeight="1" s="300">
      <c r="A16" s="84">
        <f>IF(D16="","",A15+1)</f>
        <v/>
      </c>
      <c r="B16" s="306" t="n"/>
      <c r="C16" s="306" t="n"/>
      <c r="D16" s="102" t="inlineStr">
        <is>
          <t>Nozzle flow rate</t>
        </is>
      </c>
      <c r="E16" s="237" t="n"/>
      <c r="F16" s="85" t="inlineStr">
        <is>
          <t>Competitive</t>
        </is>
      </c>
      <c r="G16" s="89" t="n"/>
      <c r="H16" s="70" t="n"/>
      <c r="I16" s="70" t="n"/>
      <c r="J16" s="70" t="n"/>
      <c r="K16" s="70" t="n"/>
      <c r="L16" s="70" t="n"/>
      <c r="M16" s="305" t="n"/>
      <c r="N16" s="305" t="n"/>
      <c r="O16" s="305" t="n">
        <v>3</v>
      </c>
      <c r="P16" s="305" t="n">
        <v>5</v>
      </c>
      <c r="Q16" s="305" t="n">
        <v>3</v>
      </c>
      <c r="R16" s="305" t="n"/>
      <c r="S16" s="305" t="n">
        <v>1</v>
      </c>
      <c r="T16" s="305" t="n">
        <v>5</v>
      </c>
      <c r="U16" s="305" t="n">
        <v>2</v>
      </c>
      <c r="V16" s="78">
        <f>SUM(M16:U16)</f>
        <v/>
      </c>
      <c r="W16" s="39">
        <f>V16 - (V16 * (SUBSTITUTE(SUBSTITUTE($W$2, "Optimistic (", ""), "%)", "") / 100))</f>
        <v/>
      </c>
      <c r="X16" s="39">
        <f>V16 + (V16 * (SUBSTITUTE(SUBSTITUTE($X$2, "Pessimistic (", ""), "%)", "") / 100))</f>
        <v/>
      </c>
      <c r="Y16" s="79">
        <f>(W16+(4*V16)+X16)/6</f>
        <v/>
      </c>
      <c r="Z16" s="169">
        <f>Y16/2</f>
        <v/>
      </c>
      <c r="AA16" s="180" t="n"/>
      <c r="AB16" s="180" t="n"/>
      <c r="AC16" s="180" t="n"/>
      <c r="AD16" s="181" t="n"/>
      <c r="AE16" s="200">
        <f>IF($Z16="",0,IF($M16="",0,$M16))</f>
        <v/>
      </c>
      <c r="AF16" s="200">
        <f>IF(OR($Z16="",$N16=""),0,$Z16*5%)</f>
        <v/>
      </c>
      <c r="AG16" s="200">
        <f>IF(OR($Z16="",$O16=""),0,$Z16*10%)</f>
        <v/>
      </c>
      <c r="AH16" s="200">
        <f>IF($Z16="",0,IF(AND($P16="",$Q16=""),($Z16-$AE16-$AF16-$AG16-$AJ16-$AK16-$AL16-$AM16-$AN16),IF($P16="",0,IF($Q16="",($Z16-$AE16-$AF16-$AG16-$AJ16-$AK16-$AL16-$AM16-$AN16),($Z16-$AE16-$AF16-$AG16-$AJ16-$AK16-$AL16-$AM16-$AN16)*40%/(40%+15%)))))</f>
        <v/>
      </c>
      <c r="AI16" s="200">
        <f>IF($Z16="",0,IF(AND($P16="",$Q16=""),0,IF($Q16="",0,IF($P16="",($Z16-$AE16-$AF16-$AG16-$AJ16-$AK16-$AL16-$AM16-$AN16),($Z16-$AE16-$AF16-$AG16-$AJ16-$AK16-$AL16-$AM16-$AN16)*15%/(40%+15%)))))</f>
        <v/>
      </c>
      <c r="AJ16" s="282">
        <f>IF($Z16="",0,$Z16*15%)</f>
        <v/>
      </c>
      <c r="AK16" s="200">
        <f>IF($Z16="",0,IF($R16="",0,$R16))</f>
        <v/>
      </c>
      <c r="AL16" s="200">
        <f>IF(OR($Z16="",$S16=""),0,$Z16*5%)</f>
        <v/>
      </c>
      <c r="AM16" s="200">
        <f>IF(OR($Z16="",$T16=""),0,$Z16*10%)</f>
        <v/>
      </c>
      <c r="AN16" s="200">
        <f>IF($Z16="",0,IF($U16="",0,$U16))</f>
        <v/>
      </c>
    </row>
    <row r="17" hidden="1" ht="18" customHeight="1" s="300">
      <c r="A17" s="84">
        <f>IF(D17="","",A16+1)</f>
        <v/>
      </c>
      <c r="B17" s="306" t="n"/>
      <c r="C17" s="307" t="n"/>
      <c r="D17" s="94" t="inlineStr">
        <is>
          <t>Under-Dispensing</t>
        </is>
      </c>
      <c r="E17" s="236" t="n"/>
      <c r="F17" s="85" t="inlineStr">
        <is>
          <t>Competitive</t>
        </is>
      </c>
      <c r="G17" s="89" t="n"/>
      <c r="H17" s="70" t="n"/>
      <c r="I17" s="70" t="n"/>
      <c r="J17" s="70" t="n"/>
      <c r="K17" s="70" t="n"/>
      <c r="L17" s="70" t="n"/>
      <c r="M17" s="305" t="n"/>
      <c r="N17" s="305" t="n"/>
      <c r="O17" s="305" t="n">
        <v>3</v>
      </c>
      <c r="P17" s="305" t="n">
        <v>5</v>
      </c>
      <c r="Q17" s="305" t="n">
        <v>3</v>
      </c>
      <c r="R17" s="305" t="n"/>
      <c r="S17" s="305" t="n">
        <v>1</v>
      </c>
      <c r="T17" s="305" t="n">
        <v>5</v>
      </c>
      <c r="U17" s="305" t="n">
        <v>2</v>
      </c>
      <c r="V17" s="78">
        <f>SUM(M17:U17)</f>
        <v/>
      </c>
      <c r="W17" s="39">
        <f>V17 - (V17 * (SUBSTITUTE(SUBSTITUTE($W$2, "Optimistic (", ""), "%)", "") / 100))</f>
        <v/>
      </c>
      <c r="X17" s="39">
        <f>V17 + (V17 * (SUBSTITUTE(SUBSTITUTE($X$2, "Pessimistic (", ""), "%)", "") / 100))</f>
        <v/>
      </c>
      <c r="Y17" s="79">
        <f>(W17+(4*V17)+X17)/6</f>
        <v/>
      </c>
      <c r="Z17" s="169">
        <f>Y17/2</f>
        <v/>
      </c>
      <c r="AA17" s="180" t="n"/>
      <c r="AB17" s="180" t="n"/>
      <c r="AC17" s="180" t="n"/>
      <c r="AD17" s="181" t="n"/>
      <c r="AE17" s="200">
        <f>IF($Z17="",0,IF($M17="",0,$M17))</f>
        <v/>
      </c>
      <c r="AF17" s="200">
        <f>IF(OR($Z17="",$N17=""),0,$Z17*5%)</f>
        <v/>
      </c>
      <c r="AG17" s="200">
        <f>IF(OR($Z17="",$O17=""),0,$Z17*10%)</f>
        <v/>
      </c>
      <c r="AH17" s="200">
        <f>IF($Z17="",0,IF(AND($P17="",$Q17=""),($Z17-$AE17-$AF17-$AG17-$AJ17-$AK17-$AL17-$AM17-$AN17),IF($P17="",0,IF($Q17="",($Z17-$AE17-$AF17-$AG17-$AJ17-$AK17-$AL17-$AM17-$AN17),($Z17-$AE17-$AF17-$AG17-$AJ17-$AK17-$AL17-$AM17-$AN17)*40%/(40%+15%)))))</f>
        <v/>
      </c>
      <c r="AI17" s="200">
        <f>IF($Z17="",0,IF(AND($P17="",$Q17=""),0,IF($Q17="",0,IF($P17="",($Z17-$AE17-$AF17-$AG17-$AJ17-$AK17-$AL17-$AM17-$AN17),($Z17-$AE17-$AF17-$AG17-$AJ17-$AK17-$AL17-$AM17-$AN17)*15%/(40%+15%)))))</f>
        <v/>
      </c>
      <c r="AJ17" s="282">
        <f>IF($Z17="",0,$Z17*15%)</f>
        <v/>
      </c>
      <c r="AK17" s="200">
        <f>IF($Z17="",0,IF($R17="",0,$R17))</f>
        <v/>
      </c>
      <c r="AL17" s="200">
        <f>IF(OR($Z17="",$S17=""),0,$Z17*5%)</f>
        <v/>
      </c>
      <c r="AM17" s="200">
        <f>IF(OR($Z17="",$T17=""),0,$Z17*10%)</f>
        <v/>
      </c>
      <c r="AN17" s="200">
        <f>IF($Z17="",0,IF($U17="",0,$U17))</f>
        <v/>
      </c>
    </row>
    <row r="18" ht="18" customHeight="1" s="300">
      <c r="A18" s="84">
        <f>IF(D18="","",A17+1)</f>
        <v/>
      </c>
      <c r="B18" s="306" t="n"/>
      <c r="C18" s="310" t="inlineStr">
        <is>
          <t>System Alarms</t>
        </is>
      </c>
      <c r="D18" s="107" t="inlineStr">
        <is>
          <t>Connectivity loss alerts (done)</t>
        </is>
      </c>
      <c r="E18" s="238" t="n"/>
      <c r="F18" s="85" t="inlineStr">
        <is>
          <t>PGL</t>
        </is>
      </c>
      <c r="G18" s="89" t="n"/>
      <c r="H18" s="70" t="n"/>
      <c r="I18" s="70" t="n"/>
      <c r="J18" s="70" t="n"/>
      <c r="K18" s="70" t="n"/>
      <c r="L18" s="70" t="n"/>
      <c r="M18" s="305" t="n"/>
      <c r="N18" s="305" t="n"/>
      <c r="O18" s="305" t="n">
        <v>2</v>
      </c>
      <c r="P18" s="305" t="n">
        <v>5</v>
      </c>
      <c r="Q18" s="305" t="n">
        <v>2</v>
      </c>
      <c r="R18" s="305" t="n"/>
      <c r="S18" s="305" t="n">
        <v>1</v>
      </c>
      <c r="T18" s="305" t="n">
        <v>2</v>
      </c>
      <c r="U18" s="305" t="n">
        <v>2</v>
      </c>
      <c r="V18" s="78">
        <f>SUM(M18:U18)</f>
        <v/>
      </c>
      <c r="W18" s="39">
        <f>V18 - (V18 * (SUBSTITUTE(SUBSTITUTE($W$2, "Optimistic (", ""), "%)", "") / 100))</f>
        <v/>
      </c>
      <c r="X18" s="39">
        <f>V18 + (V18 * (SUBSTITUTE(SUBSTITUTE($X$2, "Pessimistic (", ""), "%)", "") / 100))</f>
        <v/>
      </c>
      <c r="Y18" s="79">
        <f>(W18+(4*V18)+X18)/6</f>
        <v/>
      </c>
      <c r="Z18" s="169">
        <f>Y18/2</f>
        <v/>
      </c>
      <c r="AA18" s="180" t="n"/>
      <c r="AB18" s="180" t="n"/>
      <c r="AC18" s="180" t="n"/>
      <c r="AD18" s="181" t="n"/>
      <c r="AE18" s="200">
        <f>IF($Z18="",0,IF($M18="",0,$M18))</f>
        <v/>
      </c>
      <c r="AF18" s="200">
        <f>IF(OR($Z18="",$N18=""),0,$Z18*5%)</f>
        <v/>
      </c>
      <c r="AG18" s="200">
        <f>IF(OR($Z18="",$O18=""),0,$Z18*10%)</f>
        <v/>
      </c>
      <c r="AH18" s="200">
        <f>IF($Z18="",0,IF(AND($P18="",$Q18=""),($Z18-$AE18-$AF18-$AG18-$AJ18-$AK18-$AL18-$AM18-$AN18),IF($P18="",0,IF($Q18="",($Z18-$AE18-$AF18-$AG18-$AJ18-$AK18-$AL18-$AM18-$AN18),($Z18-$AE18-$AF18-$AG18-$AJ18-$AK18-$AL18-$AM18-$AN18)*40%/(40%+15%)))))</f>
        <v/>
      </c>
      <c r="AI18" s="200">
        <f>IF($Z18="",0,IF(AND($P18="",$Q18=""),0,IF($Q18="",0,IF($P18="",($Z18-$AE18-$AF18-$AG18-$AJ18-$AK18-$AL18-$AM18-$AN18),($Z18-$AE18-$AF18-$AG18-$AJ18-$AK18-$AL18-$AM18-$AN18)*15%/(40%+15%)))))</f>
        <v/>
      </c>
      <c r="AJ18" s="282">
        <f>IF($Z18="",0,$Z18*15%)</f>
        <v/>
      </c>
      <c r="AK18" s="200">
        <f>IF($Z18="",0,IF($R18="",0,$R18))</f>
        <v/>
      </c>
      <c r="AL18" s="200">
        <f>IF(OR($Z18="",$S18=""),0,$Z18*5%)</f>
        <v/>
      </c>
      <c r="AM18" s="200">
        <f>IF(OR($Z18="",$T18=""),0,$Z18*10%)</f>
        <v/>
      </c>
      <c r="AN18" s="200">
        <f>IF($Z18="",0,IF($U18="",0,$U18))</f>
        <v/>
      </c>
    </row>
    <row r="19" hidden="1" ht="18" customHeight="1" s="300">
      <c r="A19" s="84">
        <f>IF(D19="","",A18+1)</f>
        <v/>
      </c>
      <c r="B19" s="306" t="n"/>
      <c r="C19" s="310" t="inlineStr">
        <is>
          <t>ML</t>
        </is>
      </c>
      <c r="D19" s="102" t="inlineStr">
        <is>
          <t>Pricing/profit optimization</t>
        </is>
      </c>
      <c r="E19" s="237" t="n"/>
      <c r="F19" s="85" t="inlineStr">
        <is>
          <t>Competitive</t>
        </is>
      </c>
      <c r="G19" s="89" t="n"/>
      <c r="H19" s="70" t="n"/>
      <c r="I19" s="70" t="n"/>
      <c r="J19" s="70" t="n"/>
      <c r="K19" s="70" t="n"/>
      <c r="L19" s="70" t="n"/>
      <c r="M19" s="305" t="n"/>
      <c r="N19" s="305" t="n"/>
      <c r="O19" s="305" t="n"/>
      <c r="P19" s="305" t="n"/>
      <c r="Q19" s="305" t="n"/>
      <c r="R19" s="305" t="n"/>
      <c r="S19" s="305" t="n"/>
      <c r="T19" s="305" t="n"/>
      <c r="U19" s="305" t="n">
        <v>2</v>
      </c>
      <c r="V19" s="78">
        <f>SUM(M19:U19)</f>
        <v/>
      </c>
      <c r="W19" s="39">
        <f>V19 - (V19 * (SUBSTITUTE(SUBSTITUTE($W$2, "Optimistic (", ""), "%)", "") / 100))</f>
        <v/>
      </c>
      <c r="X19" s="39">
        <f>V19 + (V19 * (SUBSTITUTE(SUBSTITUTE($X$2, "Pessimistic (", ""), "%)", "") / 100))</f>
        <v/>
      </c>
      <c r="Y19" s="79">
        <f>(W19+(4*V19)+X19)/6</f>
        <v/>
      </c>
      <c r="Z19" s="169">
        <f>Y19/2</f>
        <v/>
      </c>
      <c r="AA19" s="180" t="n"/>
      <c r="AB19" s="180" t="n"/>
      <c r="AC19" s="180" t="n"/>
      <c r="AD19" s="181" t="n"/>
      <c r="AE19" s="200">
        <f>IF($Z19="",0,IF($M19="",0,$M19))</f>
        <v/>
      </c>
      <c r="AF19" s="200">
        <f>IF(OR($Z19="",$N19=""),0,$Z19*5%)</f>
        <v/>
      </c>
      <c r="AG19" s="200">
        <f>IF(OR($Z19="",$O19=""),0,$Z19*10%)</f>
        <v/>
      </c>
      <c r="AH19" s="200">
        <f>IF($Z19="",0,IF(AND($P19="",$Q19=""),($Z19-$AE19-$AF19-$AG19-$AJ19-$AK19-$AL19-$AM19-$AN19),IF($P19="",0,IF($Q19="",($Z19-$AE19-$AF19-$AG19-$AJ19-$AK19-$AL19-$AM19-$AN19),($Z19-$AE19-$AF19-$AG19-$AJ19-$AK19-$AL19-$AM19-$AN19)*40%/(40%+15%)))))</f>
        <v/>
      </c>
      <c r="AI19" s="200">
        <f>IF($Z19="",0,IF(AND($P19="",$Q19=""),0,IF($Q19="",0,IF($P19="",($Z19-$AE19-$AF19-$AG19-$AJ19-$AK19-$AL19-$AM19-$AN19),($Z19-$AE19-$AF19-$AG19-$AJ19-$AK19-$AL19-$AM19-$AN19)*15%/(40%+15%)))))</f>
        <v/>
      </c>
      <c r="AJ19" s="282">
        <f>IF($Z19="",0,$Z19*15%)</f>
        <v/>
      </c>
      <c r="AK19" s="200">
        <f>IF($Z19="",0,IF($R19="",0,$R19))</f>
        <v/>
      </c>
      <c r="AL19" s="200">
        <f>IF(OR($Z19="",$S19=""),0,$Z19*5%)</f>
        <v/>
      </c>
      <c r="AM19" s="200">
        <f>IF(OR($Z19="",$T19=""),0,$Z19*10%)</f>
        <v/>
      </c>
      <c r="AN19" s="200">
        <f>IF($Z19="",0,IF($U19="",0,$U19))</f>
        <v/>
      </c>
    </row>
    <row r="20" hidden="1" ht="18" customHeight="1" s="300">
      <c r="A20" s="84">
        <f>IF(D20="","",A19+1)</f>
        <v/>
      </c>
      <c r="B20" s="306" t="n"/>
      <c r="C20" s="306" t="n"/>
      <c r="D20" s="102" t="inlineStr">
        <is>
          <t>Predictive Maintenance</t>
        </is>
      </c>
      <c r="E20" s="237" t="n"/>
      <c r="F20" s="85" t="inlineStr">
        <is>
          <t>Competitive</t>
        </is>
      </c>
      <c r="G20" s="89" t="n"/>
      <c r="H20" s="70" t="n"/>
      <c r="I20" s="70" t="n"/>
      <c r="J20" s="70" t="n"/>
      <c r="K20" s="70" t="n"/>
      <c r="L20" s="70" t="n"/>
      <c r="M20" s="305" t="n"/>
      <c r="N20" s="305" t="n"/>
      <c r="O20" s="305" t="n"/>
      <c r="P20" s="305" t="n"/>
      <c r="Q20" s="305" t="n"/>
      <c r="R20" s="305" t="n"/>
      <c r="S20" s="305" t="n"/>
      <c r="T20" s="305" t="n"/>
      <c r="U20" s="305" t="n">
        <v>2</v>
      </c>
      <c r="V20" s="78">
        <f>SUM(M20:U20)</f>
        <v/>
      </c>
      <c r="W20" s="39">
        <f>V20 - (V20 * (SUBSTITUTE(SUBSTITUTE($W$2, "Optimistic (", ""), "%)", "") / 100))</f>
        <v/>
      </c>
      <c r="X20" s="39">
        <f>V20 + (V20 * (SUBSTITUTE(SUBSTITUTE($X$2, "Pessimistic (", ""), "%)", "") / 100))</f>
        <v/>
      </c>
      <c r="Y20" s="79">
        <f>(W20+(4*V20)+X20)/6</f>
        <v/>
      </c>
      <c r="Z20" s="169">
        <f>Y20/2</f>
        <v/>
      </c>
      <c r="AA20" s="180" t="n"/>
      <c r="AB20" s="180" t="n"/>
      <c r="AC20" s="180" t="n"/>
      <c r="AD20" s="181" t="n"/>
      <c r="AE20" s="200">
        <f>IF($Z20="",0,IF($M20="",0,$M20))</f>
        <v/>
      </c>
      <c r="AF20" s="200">
        <f>IF(OR($Z20="",$N20=""),0,$Z20*5%)</f>
        <v/>
      </c>
      <c r="AG20" s="200">
        <f>IF(OR($Z20="",$O20=""),0,$Z20*10%)</f>
        <v/>
      </c>
      <c r="AH20" s="200">
        <f>IF($Z20="",0,IF(AND($P20="",$Q20=""),($Z20-$AE20-$AF20-$AG20-$AJ20-$AK20-$AL20-$AM20-$AN20),IF($P20="",0,IF($Q20="",($Z20-$AE20-$AF20-$AG20-$AJ20-$AK20-$AL20-$AM20-$AN20),($Z20-$AE20-$AF20-$AG20-$AJ20-$AK20-$AL20-$AM20-$AN20)*40%/(40%+15%)))))</f>
        <v/>
      </c>
      <c r="AI20" s="200">
        <f>IF($Z20="",0,IF(AND($P20="",$Q20=""),0,IF($Q20="",0,IF($P20="",($Z20-$AE20-$AF20-$AG20-$AJ20-$AK20-$AL20-$AM20-$AN20),($Z20-$AE20-$AF20-$AG20-$AJ20-$AK20-$AL20-$AM20-$AN20)*15%/(40%+15%)))))</f>
        <v/>
      </c>
      <c r="AJ20" s="282">
        <f>IF($Z20="",0,$Z20*15%)</f>
        <v/>
      </c>
      <c r="AK20" s="200">
        <f>IF($Z20="",0,IF($R20="",0,$R20))</f>
        <v/>
      </c>
      <c r="AL20" s="200">
        <f>IF(OR($Z20="",$S20=""),0,$Z20*5%)</f>
        <v/>
      </c>
      <c r="AM20" s="200">
        <f>IF(OR($Z20="",$T20=""),0,$Z20*10%)</f>
        <v/>
      </c>
      <c r="AN20" s="200">
        <f>IF($Z20="",0,IF($U20="",0,$U20))</f>
        <v/>
      </c>
    </row>
    <row r="21" hidden="1" ht="18" customHeight="1" s="300">
      <c r="A21" s="84">
        <f>IF(D21="","",A20+1)</f>
        <v/>
      </c>
      <c r="B21" s="307" t="n"/>
      <c r="C21" s="307" t="n"/>
      <c r="D21" s="102" t="inlineStr">
        <is>
          <t>Sudden Loss indicator</t>
        </is>
      </c>
      <c r="E21" s="237" t="n"/>
      <c r="F21" s="85" t="inlineStr">
        <is>
          <t>Competitive</t>
        </is>
      </c>
      <c r="G21" s="89" t="n"/>
      <c r="H21" s="70" t="n"/>
      <c r="I21" s="70" t="n"/>
      <c r="J21" s="70" t="n"/>
      <c r="K21" s="70" t="n"/>
      <c r="L21" s="70" t="n"/>
      <c r="M21" s="305" t="n"/>
      <c r="N21" s="305" t="n"/>
      <c r="O21" s="305" t="n"/>
      <c r="P21" s="305" t="n"/>
      <c r="Q21" s="305" t="n"/>
      <c r="R21" s="305" t="n"/>
      <c r="S21" s="305" t="n"/>
      <c r="T21" s="305" t="n"/>
      <c r="U21" s="305" t="n">
        <v>2</v>
      </c>
      <c r="V21" s="78">
        <f>SUM(M21:U21)</f>
        <v/>
      </c>
      <c r="W21" s="39">
        <f>V21 - (V21 * (SUBSTITUTE(SUBSTITUTE($W$2, "Optimistic (", ""), "%)", "") / 100))</f>
        <v/>
      </c>
      <c r="X21" s="39">
        <f>V21 + (V21 * (SUBSTITUTE(SUBSTITUTE($X$2, "Pessimistic (", ""), "%)", "") / 100))</f>
        <v/>
      </c>
      <c r="Y21" s="79">
        <f>(W21+(4*V21)+X21)/6</f>
        <v/>
      </c>
      <c r="Z21" s="169">
        <f>Y21/2</f>
        <v/>
      </c>
      <c r="AA21" s="180" t="n"/>
      <c r="AB21" s="180" t="n"/>
      <c r="AC21" s="180" t="n"/>
      <c r="AD21" s="181" t="n"/>
      <c r="AE21" s="200">
        <f>IF($Z21="",0,IF($M21="",0,$M21))</f>
        <v/>
      </c>
      <c r="AF21" s="200">
        <f>IF(OR($Z21="",$N21=""),0,$Z21*5%)</f>
        <v/>
      </c>
      <c r="AG21" s="200">
        <f>IF(OR($Z21="",$O21=""),0,$Z21*10%)</f>
        <v/>
      </c>
      <c r="AH21" s="200">
        <f>IF($Z21="",0,IF(AND($P21="",$Q21=""),($Z21-$AE21-$AF21-$AG21-$AJ21-$AK21-$AL21-$AM21-$AN21),IF($P21="",0,IF($Q21="",($Z21-$AE21-$AF21-$AG21-$AJ21-$AK21-$AL21-$AM21-$AN21),($Z21-$AE21-$AF21-$AG21-$AJ21-$AK21-$AL21-$AM21-$AN21)*40%/(40%+15%)))))</f>
        <v/>
      </c>
      <c r="AI21" s="200">
        <f>IF($Z21="",0,IF(AND($P21="",$Q21=""),0,IF($Q21="",0,IF($P21="",($Z21-$AE21-$AF21-$AG21-$AJ21-$AK21-$AL21-$AM21-$AN21),($Z21-$AE21-$AF21-$AG21-$AJ21-$AK21-$AL21-$AM21-$AN21)*15%/(40%+15%)))))</f>
        <v/>
      </c>
      <c r="AJ21" s="282">
        <f>IF($Z21="",0,$Z21*15%)</f>
        <v/>
      </c>
      <c r="AK21" s="200">
        <f>IF($Z21="",0,IF($R21="",0,$R21))</f>
        <v/>
      </c>
      <c r="AL21" s="200">
        <f>IF(OR($Z21="",$S21=""),0,$Z21*5%)</f>
        <v/>
      </c>
      <c r="AM21" s="200">
        <f>IF(OR($Z21="",$T21=""),0,$Z21*10%)</f>
        <v/>
      </c>
      <c r="AN21" s="200">
        <f>IF($Z21="",0,IF($U21="",0,$U21))</f>
        <v/>
      </c>
    </row>
    <row r="22" ht="18" customHeight="1" s="300">
      <c r="A22" s="84">
        <f>IF(D22="","",A21+1)</f>
        <v/>
      </c>
      <c r="B22" s="305" t="inlineStr">
        <is>
          <t>Administration</t>
        </is>
      </c>
      <c r="C22" s="80" t="inlineStr">
        <is>
          <t>URM</t>
        </is>
      </c>
      <c r="D22" s="93" t="inlineStr">
        <is>
          <t>User &amp; role management</t>
        </is>
      </c>
      <c r="E22" s="255" t="inlineStr">
        <is>
          <t>https://octopusdtlsupport.atlassian.net/browse/FF-541</t>
        </is>
      </c>
      <c r="F22" s="85" t="inlineStr">
        <is>
          <t>PGL</t>
        </is>
      </c>
      <c r="G22" s="89" t="n"/>
      <c r="H22" s="70" t="n"/>
      <c r="I22" s="70" t="n"/>
      <c r="J22" s="70" t="n"/>
      <c r="K22" s="70" t="n"/>
      <c r="L22" s="70" t="n"/>
      <c r="M22" s="305" t="n"/>
      <c r="N22" s="305" t="n"/>
      <c r="O22" s="305" t="n">
        <v>5</v>
      </c>
      <c r="P22" s="305" t="n">
        <v>6</v>
      </c>
      <c r="Q22" s="305" t="n">
        <v>3</v>
      </c>
      <c r="R22" s="305" t="n"/>
      <c r="S22" s="305" t="n">
        <v>3</v>
      </c>
      <c r="T22" s="305" t="n">
        <v>5</v>
      </c>
      <c r="U22" s="305" t="n">
        <v>2</v>
      </c>
      <c r="V22" s="78">
        <f>SUM(M22:U22)</f>
        <v/>
      </c>
      <c r="W22" s="39">
        <f>V22 - (V22 * (SUBSTITUTE(SUBSTITUTE($W$2, "Optimistic (", ""), "%)", "") / 100))</f>
        <v/>
      </c>
      <c r="X22" s="39">
        <f>V22 + (V22 * (SUBSTITUTE(SUBSTITUTE($X$2, "Pessimistic (", ""), "%)", "") / 100))</f>
        <v/>
      </c>
      <c r="Y22" s="79">
        <f>(W22+(4*V22)+X22)/6</f>
        <v/>
      </c>
      <c r="Z22" s="169">
        <f>Y22/2</f>
        <v/>
      </c>
      <c r="AA22" s="179" t="n">
        <v>46227</v>
      </c>
      <c r="AB22" s="179" t="n"/>
      <c r="AC22" s="180" t="n"/>
      <c r="AD22" s="181" t="n"/>
      <c r="AE22" s="200">
        <f>IF($Z22="",0,IF($M22="",0,$M22))</f>
        <v/>
      </c>
      <c r="AF22" s="200">
        <f>IF(OR($Z22="",$N22=""),0,$Z22*5%)</f>
        <v/>
      </c>
      <c r="AG22" s="200">
        <f>IF(OR($Z22="",$O22=""),0,$Z22*10%)</f>
        <v/>
      </c>
      <c r="AH22" s="200">
        <f>IF($Z22="",0,IF(AND($P22="",$Q22=""),($Z22-$AE22-$AF22-$AG22-$AJ22-$AK22-$AL22-$AM22-$AN22),IF($P22="",0,IF($Q22="",($Z22-$AE22-$AF22-$AG22-$AJ22-$AK22-$AL22-$AM22-$AN22),($Z22-$AE22-$AF22-$AG22-$AJ22-$AK22-$AL22-$AM22-$AN22)*40%/(40%+15%)))))</f>
        <v/>
      </c>
      <c r="AI22" s="200">
        <f>IF($Z22="",0,IF(AND($P22="",$Q22=""),0,IF($Q22="",0,IF($P22="",($Z22-$AE22-$AF22-$AG22-$AJ22-$AK22-$AL22-$AM22-$AN22),($Z22-$AE22-$AF22-$AG22-$AJ22-$AK22-$AL22-$AM22-$AN22)*15%/(40%+15%)))))</f>
        <v/>
      </c>
      <c r="AJ22" s="282">
        <f>IF($Z22="",0,$Z22*15%)</f>
        <v/>
      </c>
      <c r="AK22" s="200">
        <f>IF($Z22="",0,IF($R22="",0,$R22))</f>
        <v/>
      </c>
      <c r="AL22" s="200">
        <f>IF(OR($Z22="",$S22=""),0,$Z22*5%)</f>
        <v/>
      </c>
      <c r="AM22" s="200">
        <f>IF(OR($Z22="",$T22=""),0,$Z22*10%)</f>
        <v/>
      </c>
      <c r="AN22" s="200">
        <f>IF($Z22="",0,IF($U22="",0,$U22))</f>
        <v/>
      </c>
    </row>
    <row r="23" ht="18" customHeight="1" s="300">
      <c r="A23" s="84">
        <f>IF(D23="","",A22+1)</f>
        <v/>
      </c>
      <c r="B23" s="306" t="n"/>
      <c r="C23" s="310" t="inlineStr">
        <is>
          <t>Configuration</t>
        </is>
      </c>
      <c r="D23" s="93" t="inlineStr">
        <is>
          <t>Station and tank configuration</t>
        </is>
      </c>
      <c r="E23" s="239" t="n"/>
      <c r="F23" s="85" t="inlineStr">
        <is>
          <t>PGL</t>
        </is>
      </c>
      <c r="G23" s="89" t="n"/>
      <c r="H23" s="70" t="n"/>
      <c r="I23" s="70" t="n"/>
      <c r="J23" s="70" t="n"/>
      <c r="K23" s="70" t="n"/>
      <c r="L23" s="70" t="n"/>
      <c r="M23" s="305" t="n"/>
      <c r="N23" s="305" t="n"/>
      <c r="O23" s="305" t="n">
        <v>3</v>
      </c>
      <c r="P23" s="305" t="n">
        <v>5</v>
      </c>
      <c r="Q23" s="305" t="n">
        <v>4</v>
      </c>
      <c r="R23" s="305" t="n"/>
      <c r="S23" s="305" t="n">
        <v>1</v>
      </c>
      <c r="T23" s="305" t="n">
        <v>3</v>
      </c>
      <c r="U23" s="305" t="n">
        <v>2</v>
      </c>
      <c r="V23" s="78">
        <f>SUM(M23:U23)</f>
        <v/>
      </c>
      <c r="W23" s="39">
        <f>V23 - (V23 * (SUBSTITUTE(SUBSTITUTE($W$2, "Optimistic (", ""), "%)", "") / 100))</f>
        <v/>
      </c>
      <c r="X23" s="39">
        <f>V23 + (V23 * (SUBSTITUTE(SUBSTITUTE($X$2, "Pessimistic (", ""), "%)", "") / 100))</f>
        <v/>
      </c>
      <c r="Y23" s="79">
        <f>(W23+(4*V23)+X23)/6</f>
        <v/>
      </c>
      <c r="Z23" s="169">
        <f>Y23/2</f>
        <v/>
      </c>
      <c r="AA23" s="179" t="n"/>
      <c r="AB23" s="179" t="n"/>
      <c r="AC23" s="180" t="n"/>
      <c r="AD23" s="181" t="n"/>
      <c r="AE23" s="200">
        <f>IF($Z23="",0,IF($M23="",0,$M23))</f>
        <v/>
      </c>
      <c r="AF23" s="200">
        <f>IF(OR($Z23="",$N23=""),0,$Z23*5%)</f>
        <v/>
      </c>
      <c r="AG23" s="200">
        <f>IF(OR($Z23="",$O23=""),0,$Z23*10%)</f>
        <v/>
      </c>
      <c r="AH23" s="200">
        <f>IF($Z23="",0,IF(AND($P23="",$Q23=""),($Z23-$AE23-$AF23-$AG23-$AJ23-$AK23-$AL23-$AM23-$AN23),IF($P23="",0,IF($Q23="",($Z23-$AE23-$AF23-$AG23-$AJ23-$AK23-$AL23-$AM23-$AN23),($Z23-$AE23-$AF23-$AG23-$AJ23-$AK23-$AL23-$AM23-$AN23)*40%/(40%+15%)))))</f>
        <v/>
      </c>
      <c r="AI23" s="200">
        <f>IF($Z23="",0,IF(AND($P23="",$Q23=""),0,IF($Q23="",0,IF($P23="",($Z23-$AE23-$AF23-$AG23-$AJ23-$AK23-$AL23-$AM23-$AN23),($Z23-$AE23-$AF23-$AG23-$AJ23-$AK23-$AL23-$AM23-$AN23)*15%/(40%+15%)))))</f>
        <v/>
      </c>
      <c r="AJ23" s="282">
        <f>IF($Z23="",0,$Z23*15%)</f>
        <v/>
      </c>
      <c r="AK23" s="200">
        <f>IF($Z23="",0,IF($R23="",0,$R23))</f>
        <v/>
      </c>
      <c r="AL23" s="200">
        <f>IF(OR($Z23="",$S23=""),0,$Z23*5%)</f>
        <v/>
      </c>
      <c r="AM23" s="200">
        <f>IF(OR($Z23="",$T23=""),0,$Z23*10%)</f>
        <v/>
      </c>
      <c r="AN23" s="200">
        <f>IF($Z23="",0,IF($U23="",0,$U23))</f>
        <v/>
      </c>
    </row>
    <row r="24" ht="18" customHeight="1" s="300">
      <c r="A24" s="84">
        <f>IF(D24="","",A23+1)</f>
        <v/>
      </c>
      <c r="B24" s="306" t="n"/>
      <c r="C24" s="306" t="n"/>
      <c r="D24" s="93" t="inlineStr">
        <is>
          <t>Product mapping</t>
        </is>
      </c>
      <c r="E24" s="239" t="n"/>
      <c r="F24" s="85" t="inlineStr">
        <is>
          <t>PGL</t>
        </is>
      </c>
      <c r="G24" s="89" t="n"/>
      <c r="H24" s="70" t="n"/>
      <c r="I24" s="70" t="n"/>
      <c r="J24" s="70" t="n"/>
      <c r="K24" s="70" t="n"/>
      <c r="L24" s="70" t="n"/>
      <c r="M24" s="305" t="n"/>
      <c r="N24" s="305" t="n"/>
      <c r="O24" s="305" t="n">
        <v>3</v>
      </c>
      <c r="P24" s="305" t="n">
        <v>3</v>
      </c>
      <c r="Q24" s="305" t="n">
        <v>2</v>
      </c>
      <c r="R24" s="305" t="n"/>
      <c r="S24" s="305" t="n">
        <v>1</v>
      </c>
      <c r="T24" s="305" t="n">
        <v>3</v>
      </c>
      <c r="U24" s="305" t="n">
        <v>2</v>
      </c>
      <c r="V24" s="78">
        <f>SUM(M24:U24)</f>
        <v/>
      </c>
      <c r="W24" s="39">
        <f>V24 - (V24 * (SUBSTITUTE(SUBSTITUTE($W$2, "Optimistic (", ""), "%)", "") / 100))</f>
        <v/>
      </c>
      <c r="X24" s="39">
        <f>V24 + (V24 * (SUBSTITUTE(SUBSTITUTE($X$2, "Pessimistic (", ""), "%)", "") / 100))</f>
        <v/>
      </c>
      <c r="Y24" s="79">
        <f>(W24+(4*V24)+X24)/6</f>
        <v/>
      </c>
      <c r="Z24" s="169">
        <f>Y24/2</f>
        <v/>
      </c>
      <c r="AA24" s="179" t="n"/>
      <c r="AB24" s="179" t="n"/>
      <c r="AC24" s="180" t="n"/>
      <c r="AD24" s="181" t="n"/>
      <c r="AE24" s="200">
        <f>IF($Z24="",0,IF($M24="",0,$M24))</f>
        <v/>
      </c>
      <c r="AF24" s="200">
        <f>IF(OR($Z24="",$N24=""),0,$Z24*5%)</f>
        <v/>
      </c>
      <c r="AG24" s="200">
        <f>IF(OR($Z24="",$O24=""),0,$Z24*10%)</f>
        <v/>
      </c>
      <c r="AH24" s="200">
        <f>IF($Z24="",0,IF(AND($P24="",$Q24=""),($Z24-$AE24-$AF24-$AG24-$AJ24-$AK24-$AL24-$AM24-$AN24),IF($P24="",0,IF($Q24="",($Z24-$AE24-$AF24-$AG24-$AJ24-$AK24-$AL24-$AM24-$AN24),($Z24-$AE24-$AF24-$AG24-$AJ24-$AK24-$AL24-$AM24-$AN24)*40%/(40%+15%)))))</f>
        <v/>
      </c>
      <c r="AI24" s="200">
        <f>IF($Z24="",0,IF(AND($P24="",$Q24=""),0,IF($Q24="",0,IF($P24="",($Z24-$AE24-$AF24-$AG24-$AJ24-$AK24-$AL24-$AM24-$AN24),($Z24-$AE24-$AF24-$AG24-$AJ24-$AK24-$AL24-$AM24-$AN24)*15%/(40%+15%)))))</f>
        <v/>
      </c>
      <c r="AJ24" s="282">
        <f>IF($Z24="",0,$Z24*15%)</f>
        <v/>
      </c>
      <c r="AK24" s="200">
        <f>IF($Z24="",0,IF($R24="",0,$R24))</f>
        <v/>
      </c>
      <c r="AL24" s="200">
        <f>IF(OR($Z24="",$S24=""),0,$Z24*5%)</f>
        <v/>
      </c>
      <c r="AM24" s="200">
        <f>IF(OR($Z24="",$T24=""),0,$Z24*10%)</f>
        <v/>
      </c>
      <c r="AN24" s="200">
        <f>IF($Z24="",0,IF($U24="",0,$U24))</f>
        <v/>
      </c>
    </row>
    <row r="25" ht="18" customHeight="1" s="300">
      <c r="A25" s="84">
        <f>IF(D25="","",A24+1)</f>
        <v/>
      </c>
      <c r="B25" s="306" t="n"/>
      <c r="C25" s="307" t="n"/>
      <c r="D25" s="101" t="inlineStr">
        <is>
          <t>Unit and currency settings</t>
        </is>
      </c>
      <c r="E25" s="240" t="n"/>
      <c r="F25" s="85" t="inlineStr">
        <is>
          <t>PGL</t>
        </is>
      </c>
      <c r="G25" s="89" t="n"/>
      <c r="H25" s="70" t="n"/>
      <c r="I25" s="70" t="n"/>
      <c r="J25" s="70" t="n"/>
      <c r="K25" s="70" t="n"/>
      <c r="L25" s="70" t="n"/>
      <c r="M25" s="305" t="n"/>
      <c r="N25" s="305" t="n"/>
      <c r="O25" s="305" t="n">
        <v>4</v>
      </c>
      <c r="P25" s="305" t="n">
        <v>10</v>
      </c>
      <c r="Q25" s="305" t="n">
        <v>5</v>
      </c>
      <c r="R25" s="305" t="n"/>
      <c r="S25" s="305" t="n">
        <v>3</v>
      </c>
      <c r="T25" s="305" t="n">
        <v>6</v>
      </c>
      <c r="U25" s="305" t="n">
        <v>2</v>
      </c>
      <c r="V25" s="78">
        <f>SUM(M25:U25)</f>
        <v/>
      </c>
      <c r="W25" s="39">
        <f>V25 - (V25 * (SUBSTITUTE(SUBSTITUTE($W$2, "Optimistic (", ""), "%)", "") / 100))</f>
        <v/>
      </c>
      <c r="X25" s="39">
        <f>V25 + (V25 * (SUBSTITUTE(SUBSTITUTE($X$2, "Pessimistic (", ""), "%)", "") / 100))</f>
        <v/>
      </c>
      <c r="Y25" s="79">
        <f>(W25+(4*V25)+X25)/6</f>
        <v/>
      </c>
      <c r="Z25" s="169">
        <f>Y25/2</f>
        <v/>
      </c>
      <c r="AA25" s="180" t="n"/>
      <c r="AB25" s="180" t="n"/>
      <c r="AC25" s="180" t="n"/>
      <c r="AD25" s="181" t="n"/>
      <c r="AE25" s="200">
        <f>IF($Z25="",0,IF($M25="",0,$M25))</f>
        <v/>
      </c>
      <c r="AF25" s="200">
        <f>IF(OR($Z25="",$N25=""),0,$Z25*5%)</f>
        <v/>
      </c>
      <c r="AG25" s="200">
        <f>IF(OR($Z25="",$O25=""),0,$Z25*10%)</f>
        <v/>
      </c>
      <c r="AH25" s="200">
        <f>IF($Z25="",0,IF(AND($P25="",$Q25=""),($Z25-$AE25-$AF25-$AG25-$AJ25-$AK25-$AL25-$AM25-$AN25),IF($P25="",0,IF($Q25="",($Z25-$AE25-$AF25-$AG25-$AJ25-$AK25-$AL25-$AM25-$AN25),($Z25-$AE25-$AF25-$AG25-$AJ25-$AK25-$AL25-$AM25-$AN25)*40%/(40%+15%)))))</f>
        <v/>
      </c>
      <c r="AI25" s="200">
        <f>IF($Z25="",0,IF(AND($P25="",$Q25=""),0,IF($Q25="",0,IF($P25="",($Z25-$AE25-$AF25-$AG25-$AJ25-$AK25-$AL25-$AM25-$AN25),($Z25-$AE25-$AF25-$AG25-$AJ25-$AK25-$AL25-$AM25-$AN25)*15%/(40%+15%)))))</f>
        <v/>
      </c>
      <c r="AJ25" s="282">
        <f>IF($Z25="",0,$Z25*15%)</f>
        <v/>
      </c>
      <c r="AK25" s="200">
        <f>IF($Z25="",0,IF($R25="",0,$R25))</f>
        <v/>
      </c>
      <c r="AL25" s="200">
        <f>IF(OR($Z25="",$S25=""),0,$Z25*5%)</f>
        <v/>
      </c>
      <c r="AM25" s="200">
        <f>IF(OR($Z25="",$T25=""),0,$Z25*10%)</f>
        <v/>
      </c>
      <c r="AN25" s="200">
        <f>IF($Z25="",0,IF($U25="",0,$U25))</f>
        <v/>
      </c>
      <c r="AP25" s="72" t="inlineStr">
        <is>
          <t>*Would require a session with IA as well for showing data on dashboard of sites with different currencies
*Understanding session is required with PGL</t>
        </is>
      </c>
    </row>
    <row r="26" ht="18" customHeight="1" s="300">
      <c r="A26" s="84">
        <f>IF(D26="","",A25+1)</f>
        <v/>
      </c>
      <c r="B26" s="306" t="n"/>
      <c r="C26" s="310" t="inlineStr">
        <is>
          <t>Audit</t>
        </is>
      </c>
      <c r="D26" s="91" t="inlineStr">
        <is>
          <t>Audit trails (phase 1) - User-management</t>
        </is>
      </c>
      <c r="E26" s="246" t="inlineStr">
        <is>
          <t>https://octopusdtlsupport.atlassian.net/browse/FF-446</t>
        </is>
      </c>
      <c r="F26" s="85" t="inlineStr">
        <is>
          <t>PGL</t>
        </is>
      </c>
      <c r="G26" s="89" t="n"/>
      <c r="H26" s="70" t="n"/>
      <c r="I26" s="70" t="n"/>
      <c r="J26" s="70" t="n"/>
      <c r="K26" s="70" t="n"/>
      <c r="L26" s="70" t="n"/>
      <c r="M26" s="305" t="n"/>
      <c r="N26" s="305" t="n"/>
      <c r="O26" s="305" t="n">
        <v>5</v>
      </c>
      <c r="P26" s="305" t="n">
        <v>15</v>
      </c>
      <c r="Q26" s="305" t="n">
        <v>5</v>
      </c>
      <c r="R26" s="305" t="n"/>
      <c r="S26" s="305" t="n"/>
      <c r="T26" s="305" t="n"/>
      <c r="U26" s="305" t="n">
        <v>2</v>
      </c>
      <c r="V26" s="78">
        <f>SUM(M26:U26)</f>
        <v/>
      </c>
      <c r="W26" s="39">
        <f>V26 - (V26 * (SUBSTITUTE(SUBSTITUTE($W$2, "Optimistic (", ""), "%)", "") / 100))</f>
        <v/>
      </c>
      <c r="X26" s="39">
        <f>V26 + (V26 * (SUBSTITUTE(SUBSTITUTE($X$2, "Pessimistic (", ""), "%)", "") / 100))</f>
        <v/>
      </c>
      <c r="Y26" s="79">
        <f>(W26+(4*V26)+X26)/6</f>
        <v/>
      </c>
      <c r="Z26" s="169">
        <f>Y26/2</f>
        <v/>
      </c>
      <c r="AA26" s="179" t="n">
        <v>46160</v>
      </c>
      <c r="AB26" s="179" t="n">
        <v>46171</v>
      </c>
      <c r="AC26" s="179" t="n">
        <v>46174</v>
      </c>
      <c r="AD26" s="179" t="n">
        <v>46176</v>
      </c>
      <c r="AE26" s="200">
        <f>IF($Z26="",0,IF($M26="",0,$M26))</f>
        <v/>
      </c>
      <c r="AF26" s="200">
        <f>IF(OR($Z26="",$N26=""),0,$Z26*5%)</f>
        <v/>
      </c>
      <c r="AG26" s="200">
        <f>IF(OR($Z26="",$O26=""),0,$Z26*10%)</f>
        <v/>
      </c>
      <c r="AH26" s="200">
        <f>IF($Z26="",0,IF(AND($P26="",$Q26=""),($Z26-$AE26-$AF26-$AG26-$AJ26-$AK26-$AL26-$AM26-$AN26),IF($P26="",0,IF($Q26="",($Z26-$AE26-$AF26-$AG26-$AJ26-$AK26-$AL26-$AM26-$AN26),($Z26-$AE26-$AF26-$AG26-$AJ26-$AK26-$AL26-$AM26-$AN26)*40%/(40%+15%)))))</f>
        <v/>
      </c>
      <c r="AI26" s="200">
        <f>IF($Z26="",0,IF(AND($P26="",$Q26=""),0,IF($Q26="",0,IF($P26="",($Z26-$AE26-$AF26-$AG26-$AJ26-$AK26-$AL26-$AM26-$AN26),($Z26-$AE26-$AF26-$AG26-$AJ26-$AK26-$AL26-$AM26-$AN26)*15%/(40%+15%)))))</f>
        <v/>
      </c>
      <c r="AJ26" s="282">
        <f>IF($Z26="",0,$Z26*15%)</f>
        <v/>
      </c>
      <c r="AK26" s="200">
        <f>IF($Z26="",0,IF($R26="",0,$R26))</f>
        <v/>
      </c>
      <c r="AL26" s="200">
        <f>IF(OR($Z26="",$S26=""),0,$Z26*5%)</f>
        <v/>
      </c>
      <c r="AM26" s="200">
        <f>IF(OR($Z26="",$T26=""),0,$Z26*10%)</f>
        <v/>
      </c>
      <c r="AN26" s="200">
        <f>IF($Z26="",0,IF($U26="",0,$U26))</f>
        <v/>
      </c>
    </row>
    <row r="27" ht="18" customHeight="1" s="300">
      <c r="A27" s="84">
        <f>IF(D27="","",A26+1)</f>
        <v/>
      </c>
      <c r="B27" s="306" t="n"/>
      <c r="C27" s="306" t="n"/>
      <c r="D27" s="91" t="inlineStr">
        <is>
          <t>Audit trails (phase 2) - Module Interaction</t>
        </is>
      </c>
      <c r="E27" s="246" t="inlineStr">
        <is>
          <t>https://octopusdtlsupport.atlassian.net/browse/FF-512</t>
        </is>
      </c>
      <c r="F27" s="85" t="inlineStr">
        <is>
          <t>PGL</t>
        </is>
      </c>
      <c r="G27" s="89" t="n"/>
      <c r="H27" s="70" t="n"/>
      <c r="I27" s="70" t="n"/>
      <c r="J27" s="70" t="n"/>
      <c r="K27" s="70" t="n"/>
      <c r="L27" s="70" t="n"/>
      <c r="M27" s="305" t="n"/>
      <c r="N27" s="305" t="n"/>
      <c r="O27" s="305" t="n">
        <v>5</v>
      </c>
      <c r="P27" s="305">
        <f>12+3</f>
        <v/>
      </c>
      <c r="Q27" s="305" t="n">
        <v>5</v>
      </c>
      <c r="R27" s="305" t="n"/>
      <c r="S27" s="305" t="n">
        <v>2</v>
      </c>
      <c r="T27" s="305" t="n">
        <v>5</v>
      </c>
      <c r="U27" s="305" t="n">
        <v>2</v>
      </c>
      <c r="V27" s="78">
        <f>SUM(M27:U27)</f>
        <v/>
      </c>
      <c r="W27" s="39">
        <f>V27 - (V27 * (SUBSTITUTE(SUBSTITUTE($W$2, "Optimistic (", ""), "%)", "") / 100))</f>
        <v/>
      </c>
      <c r="X27" s="39">
        <f>V27 + (V27 * (SUBSTITUTE(SUBSTITUTE($X$2, "Pessimistic (", ""), "%)", "") / 100))</f>
        <v/>
      </c>
      <c r="Y27" s="79">
        <f>(W27+(4*V27)+X27)/6</f>
        <v/>
      </c>
      <c r="Z27" s="169">
        <f>Y27/2</f>
        <v/>
      </c>
      <c r="AA27" s="179" t="n">
        <v>46177</v>
      </c>
      <c r="AB27" s="179" t="n">
        <v>46190</v>
      </c>
      <c r="AC27" s="179" t="n">
        <v>46191</v>
      </c>
      <c r="AD27" s="179" t="n">
        <v>46195</v>
      </c>
      <c r="AE27" s="200">
        <f>IF($Z27="",0,IF($M27="",0,$M27))</f>
        <v/>
      </c>
      <c r="AF27" s="200">
        <f>IF(OR($Z27="",$N27=""),0,$Z27*5%)</f>
        <v/>
      </c>
      <c r="AG27" s="200">
        <f>IF(OR($Z27="",$O27=""),0,$Z27*10%)</f>
        <v/>
      </c>
      <c r="AH27" s="200">
        <f>IF($Z27="",0,IF(AND($P27="",$Q27=""),($Z27-$AE27-$AF27-$AG27-$AJ27-$AK27-$AL27-$AM27-$AN27),IF($P27="",0,IF($Q27="",($Z27-$AE27-$AF27-$AG27-$AJ27-$AK27-$AL27-$AM27-$AN27),($Z27-$AE27-$AF27-$AG27-$AJ27-$AK27-$AL27-$AM27-$AN27)*40%/(40%+15%)))))</f>
        <v/>
      </c>
      <c r="AI27" s="200">
        <f>IF($Z27="",0,IF(AND($P27="",$Q27=""),0,IF($Q27="",0,IF($P27="",($Z27-$AE27-$AF27-$AG27-$AJ27-$AK27-$AL27-$AM27-$AN27),($Z27-$AE27-$AF27-$AG27-$AJ27-$AK27-$AL27-$AM27-$AN27)*15%/(40%+15%)))))</f>
        <v/>
      </c>
      <c r="AJ27" s="282">
        <f>IF($Z27="",0,$Z27*15%)</f>
        <v/>
      </c>
      <c r="AK27" s="200">
        <f>IF($Z27="",0,IF($R27="",0,$R27))</f>
        <v/>
      </c>
      <c r="AL27" s="200">
        <f>IF(OR($Z27="",$S27=""),0,$Z27*5%)</f>
        <v/>
      </c>
      <c r="AM27" s="200">
        <f>IF(OR($Z27="",$T27=""),0,$Z27*10%)</f>
        <v/>
      </c>
      <c r="AN27" s="200">
        <f>IF($Z27="",0,IF($U27="",0,$U27))</f>
        <v/>
      </c>
    </row>
    <row r="28" ht="18" customHeight="1" s="300">
      <c r="A28" s="84">
        <f>IF(D28="","",A27+1)</f>
        <v/>
      </c>
      <c r="B28" s="307" t="n"/>
      <c r="C28" s="307" t="n"/>
      <c r="D28" s="91" t="inlineStr">
        <is>
          <t>Audit trails (phase 3) - Activity Log</t>
        </is>
      </c>
      <c r="E28" s="246" t="inlineStr">
        <is>
          <t>https://octopusdtlsupport.atlassian.net/browse/FF-517</t>
        </is>
      </c>
      <c r="F28" s="85" t="inlineStr">
        <is>
          <t>PGL</t>
        </is>
      </c>
      <c r="G28" s="89" t="n"/>
      <c r="H28" s="70" t="n"/>
      <c r="I28" s="70" t="n"/>
      <c r="J28" s="70" t="n"/>
      <c r="K28" s="70" t="n"/>
      <c r="L28" s="70" t="n"/>
      <c r="M28" s="305" t="n"/>
      <c r="N28" s="305" t="n"/>
      <c r="O28" s="305" t="n">
        <v>5</v>
      </c>
      <c r="P28" s="305">
        <f>7+3</f>
        <v/>
      </c>
      <c r="Q28" s="305" t="n">
        <v>5</v>
      </c>
      <c r="R28" s="305" t="n"/>
      <c r="S28" s="305" t="n">
        <v>2</v>
      </c>
      <c r="T28" s="305" t="n">
        <v>5</v>
      </c>
      <c r="U28" s="305" t="n">
        <v>2</v>
      </c>
      <c r="V28" s="78">
        <f>SUM(M28:U28)</f>
        <v/>
      </c>
      <c r="W28" s="39">
        <f>V28 - (V28 * (SUBSTITUTE(SUBSTITUTE($W$2, "Optimistic (", ""), "%)", "") / 100))</f>
        <v/>
      </c>
      <c r="X28" s="39">
        <f>V28 + (V28 * (SUBSTITUTE(SUBSTITUTE($X$2, "Pessimistic (", ""), "%)", "") / 100))</f>
        <v/>
      </c>
      <c r="Y28" s="79">
        <f>(W28+(4*V28)+X28)/6</f>
        <v/>
      </c>
      <c r="Z28" s="169">
        <f>Y28/2</f>
        <v/>
      </c>
      <c r="AA28" s="179" t="n">
        <v>46195</v>
      </c>
      <c r="AB28" s="179" t="n">
        <v>46203</v>
      </c>
      <c r="AC28" s="179" t="n">
        <v>46204</v>
      </c>
      <c r="AD28" s="179" t="n">
        <v>46206</v>
      </c>
      <c r="AE28" s="200">
        <f>IF($Z28="",0,IF($M28="",0,$M28))</f>
        <v/>
      </c>
      <c r="AF28" s="200">
        <f>IF(OR($Z28="",$N28=""),0,$Z28*5%)</f>
        <v/>
      </c>
      <c r="AG28" s="200">
        <f>IF(OR($Z28="",$O28=""),0,$Z28*10%)</f>
        <v/>
      </c>
      <c r="AH28" s="200">
        <f>IF($Z28="",0,IF(AND($P28="",$Q28=""),($Z28-$AE28-$AF28-$AG28-$AJ28-$AK28-$AL28-$AM28-$AN28),IF($P28="",0,IF($Q28="",($Z28-$AE28-$AF28-$AG28-$AJ28-$AK28-$AL28-$AM28-$AN28),($Z28-$AE28-$AF28-$AG28-$AJ28-$AK28-$AL28-$AM28-$AN28)*40%/(40%+15%)))))</f>
        <v/>
      </c>
      <c r="AI28" s="200">
        <f>IF($Z28="",0,IF(AND($P28="",$Q28=""),0,IF($Q28="",0,IF($P28="",($Z28-$AE28-$AF28-$AG28-$AJ28-$AK28-$AL28-$AM28-$AN28),($Z28-$AE28-$AF28-$AG28-$AJ28-$AK28-$AL28-$AM28-$AN28)*15%/(40%+15%)))))</f>
        <v/>
      </c>
      <c r="AJ28" s="282">
        <f>IF($Z28="",0,$Z28*15%)</f>
        <v/>
      </c>
      <c r="AK28" s="200">
        <f>IF($Z28="",0,IF($R28="",0,$R28))</f>
        <v/>
      </c>
      <c r="AL28" s="200">
        <f>IF(OR($Z28="",$S28=""),0,$Z28*5%)</f>
        <v/>
      </c>
      <c r="AM28" s="200">
        <f>IF(OR($Z28="",$T28=""),0,$Z28*10%)</f>
        <v/>
      </c>
      <c r="AN28" s="200">
        <f>IF($Z28="",0,IF($U28="",0,$U28))</f>
        <v/>
      </c>
    </row>
    <row r="29" hidden="1" ht="18" customHeight="1" s="300">
      <c r="A29" s="84">
        <f>IF(D29="","",A28+1)</f>
        <v/>
      </c>
      <c r="B29" s="310" t="inlineStr">
        <is>
          <t>OutPut</t>
        </is>
      </c>
      <c r="C29" s="70" t="inlineStr">
        <is>
          <t>Mobile</t>
        </is>
      </c>
      <c r="D29" s="91" t="inlineStr">
        <is>
          <t>Mobile View without Manual submit Data</t>
        </is>
      </c>
      <c r="E29" s="241" t="n"/>
      <c r="F29" s="85" t="inlineStr">
        <is>
          <t>Competitive</t>
        </is>
      </c>
      <c r="G29" s="89" t="n"/>
      <c r="H29" s="70" t="n"/>
      <c r="I29" s="70" t="n"/>
      <c r="J29" s="70" t="n"/>
      <c r="K29" s="70" t="n"/>
      <c r="L29" s="70" t="n"/>
      <c r="M29" s="305" t="n"/>
      <c r="N29" s="305" t="n">
        <v>5</v>
      </c>
      <c r="O29" s="305" t="n">
        <v>3</v>
      </c>
      <c r="P29" s="305" t="n">
        <v>15</v>
      </c>
      <c r="Q29" s="305" t="n">
        <v>10</v>
      </c>
      <c r="R29" s="305" t="n"/>
      <c r="S29" s="305" t="n">
        <v>3</v>
      </c>
      <c r="T29" s="305" t="n">
        <v>5</v>
      </c>
      <c r="U29" s="305" t="n">
        <v>2</v>
      </c>
      <c r="V29" s="78">
        <f>SUM(M29:U29)</f>
        <v/>
      </c>
      <c r="W29" s="39">
        <f>V29 - (V29 * (SUBSTITUTE(SUBSTITUTE($W$2, "Optimistic (", ""), "%)", "") / 100))</f>
        <v/>
      </c>
      <c r="X29" s="39">
        <f>V29 + (V29 * (SUBSTITUTE(SUBSTITUTE($X$2, "Pessimistic (", ""), "%)", "") / 100))</f>
        <v/>
      </c>
      <c r="Y29" s="79">
        <f>(W29+(4*V29)+X29)/6</f>
        <v/>
      </c>
      <c r="Z29" s="169">
        <f>Y29/2</f>
        <v/>
      </c>
      <c r="AA29" s="180" t="n"/>
      <c r="AB29" s="180" t="n"/>
      <c r="AC29" s="180" t="n"/>
      <c r="AD29" s="181" t="n"/>
      <c r="AE29" s="200">
        <f>IF($Z29="",0,IF($M29="",0,$M29))</f>
        <v/>
      </c>
      <c r="AF29" s="200">
        <f>IF(OR($Z29="",$N29=""),0,$Z29*5%)</f>
        <v/>
      </c>
      <c r="AG29" s="200">
        <f>IF(OR($Z29="",$O29=""),0,$Z29*10%)</f>
        <v/>
      </c>
      <c r="AH29" s="200">
        <f>IF($Z29="",0,IF(AND($P29="",$Q29=""),($Z29-$AE29-$AF29-$AG29-$AJ29-$AK29-$AL29-$AM29-$AN29),IF($P29="",0,IF($Q29="",($Z29-$AE29-$AF29-$AG29-$AJ29-$AK29-$AL29-$AM29-$AN29),($Z29-$AE29-$AF29-$AG29-$AJ29-$AK29-$AL29-$AM29-$AN29)*40%/(40%+15%)))))</f>
        <v/>
      </c>
      <c r="AI29" s="200">
        <f>IF($Z29="",0,IF(AND($P29="",$Q29=""),0,IF($Q29="",0,IF($P29="",($Z29-$AE29-$AF29-$AG29-$AJ29-$AK29-$AL29-$AM29-$AN29),($Z29-$AE29-$AF29-$AG29-$AJ29-$AK29-$AL29-$AM29-$AN29)*15%/(40%+15%)))))</f>
        <v/>
      </c>
      <c r="AJ29" s="282">
        <f>IF($Z29="",0,$Z29*15%)</f>
        <v/>
      </c>
      <c r="AK29" s="200">
        <f>IF($Z29="",0,IF($R29="",0,$R29))</f>
        <v/>
      </c>
      <c r="AL29" s="200">
        <f>IF(OR($Z29="",$S29=""),0,$Z29*5%)</f>
        <v/>
      </c>
      <c r="AM29" s="200">
        <f>IF(OR($Z29="",$T29=""),0,$Z29*10%)</f>
        <v/>
      </c>
      <c r="AN29" s="200">
        <f>IF($Z29="",0,IF($U29="",0,$U29))</f>
        <v/>
      </c>
    </row>
    <row r="30" hidden="1" ht="18" customHeight="1" s="300">
      <c r="A30" s="84">
        <f>IF(D30="","",A29+1)</f>
        <v/>
      </c>
      <c r="B30" s="306" t="n"/>
      <c r="C30" s="70" t="inlineStr">
        <is>
          <t>ReadAPI</t>
        </is>
      </c>
      <c r="D30" s="99" t="inlineStr">
        <is>
          <t>ReadAPI to pull data from FintechFuel - (21h)</t>
        </is>
      </c>
      <c r="E30" s="248" t="n"/>
      <c r="F30" s="85" t="inlineStr">
        <is>
          <t>Competitive</t>
        </is>
      </c>
      <c r="G30" s="89" t="n"/>
      <c r="H30" s="70" t="n"/>
      <c r="I30" s="70" t="n"/>
      <c r="J30" s="70" t="n"/>
      <c r="K30" s="70" t="n"/>
      <c r="L30" s="70" t="n"/>
      <c r="M30" s="305" t="n"/>
      <c r="N30" s="305" t="n"/>
      <c r="O30" s="305" t="n"/>
      <c r="P30" s="305" t="n">
        <v>20</v>
      </c>
      <c r="Q30" s="305" t="n">
        <v>10</v>
      </c>
      <c r="R30" s="305" t="n"/>
      <c r="S30" s="305" t="n">
        <v>5</v>
      </c>
      <c r="T30" s="305" t="n">
        <v>6</v>
      </c>
      <c r="U30" s="305" t="n">
        <v>2</v>
      </c>
      <c r="V30" s="78">
        <f>SUM(M30:U30)</f>
        <v/>
      </c>
      <c r="W30" s="39">
        <f>V30 - (V30 * (SUBSTITUTE(SUBSTITUTE($W$2, "Optimistic (", ""), "%)", "") / 100))</f>
        <v/>
      </c>
      <c r="X30" s="39">
        <f>V30 + (V30 * (SUBSTITUTE(SUBSTITUTE($X$2, "Pessimistic (", ""), "%)", "") / 100))</f>
        <v/>
      </c>
      <c r="Y30" s="79">
        <f>(W30+(4*V30)+X30)/6</f>
        <v/>
      </c>
      <c r="Z30" s="169">
        <f>Y30/2</f>
        <v/>
      </c>
      <c r="AA30" s="179" t="n">
        <v>46209</v>
      </c>
      <c r="AB30" s="179" t="n">
        <v>46220</v>
      </c>
      <c r="AC30" s="179" t="n">
        <v>46220</v>
      </c>
      <c r="AD30" s="179" t="n">
        <v>46227</v>
      </c>
      <c r="AE30" s="200">
        <f>IF($Z30="",0,IF($M30="",0,$M30))</f>
        <v/>
      </c>
      <c r="AF30" s="200">
        <f>IF(OR($Z30="",$N30=""),0,$Z30*5%)</f>
        <v/>
      </c>
      <c r="AG30" s="200">
        <f>IF(OR($Z30="",$O30=""),0,$Z30*10%)</f>
        <v/>
      </c>
      <c r="AH30" s="200">
        <f>IF($Z30="",0,IF(AND($P30="",$Q30=""),($Z30-$AE30-$AF30-$AG30-$AJ30-$AK30-$AL30-$AM30-$AN30),IF($P30="",0,IF($Q30="",($Z30-$AE30-$AF30-$AG30-$AJ30-$AK30-$AL30-$AM30-$AN30),($Z30-$AE30-$AF30-$AG30-$AJ30-$AK30-$AL30-$AM30-$AN30)*40%/(40%+15%)))))</f>
        <v/>
      </c>
      <c r="AI30" s="200">
        <f>IF($Z30="",0,IF(AND($P30="",$Q30=""),0,IF($Q30="",0,IF($P30="",($Z30-$AE30-$AF30-$AG30-$AJ30-$AK30-$AL30-$AM30-$AN30),($Z30-$AE30-$AF30-$AG30-$AJ30-$AK30-$AL30-$AM30-$AN30)*15%/(40%+15%)))))</f>
        <v/>
      </c>
      <c r="AJ30" s="282">
        <f>IF($Z30="",0,$Z30*15%)</f>
        <v/>
      </c>
      <c r="AK30" s="200">
        <f>IF($Z30="",0,IF($R30="",0,$R30))</f>
        <v/>
      </c>
      <c r="AL30" s="200">
        <f>IF(OR($Z30="",$S30=""),0,$Z30*5%)</f>
        <v/>
      </c>
      <c r="AM30" s="200">
        <f>IF(OR($Z30="",$T30=""),0,$Z30*10%)</f>
        <v/>
      </c>
      <c r="AN30" s="200">
        <f>IF($Z30="",0,IF($U30="",0,$U30))</f>
        <v/>
      </c>
    </row>
    <row r="31" ht="18" customHeight="1" s="300">
      <c r="A31" s="84">
        <f>IF(D31="","",A30+1)</f>
        <v/>
      </c>
      <c r="B31" s="306" t="n"/>
      <c r="C31" s="70" t="inlineStr">
        <is>
          <t>Write-Back</t>
        </is>
      </c>
      <c r="D31" s="99" t="inlineStr">
        <is>
          <t>Write-Back Price to stations - (10h)</t>
        </is>
      </c>
      <c r="E31" s="247" t="inlineStr">
        <is>
          <t>https://octopusdtlsupport.atlassian.net/browse/FF-302</t>
        </is>
      </c>
      <c r="F31" s="85" t="inlineStr">
        <is>
          <t>PGL</t>
        </is>
      </c>
      <c r="G31" s="89" t="n"/>
      <c r="H31" s="70" t="n"/>
      <c r="I31" s="70" t="n"/>
      <c r="J31" s="70" t="n"/>
      <c r="K31" s="70" t="n"/>
      <c r="L31" s="70" t="n"/>
      <c r="M31" s="305" t="n"/>
      <c r="N31" s="305" t="n"/>
      <c r="O31" s="305">
        <f>5+1</f>
        <v/>
      </c>
      <c r="P31" s="305">
        <f>16+10</f>
        <v/>
      </c>
      <c r="Q31" s="305" t="n">
        <v>10</v>
      </c>
      <c r="R31" s="305" t="n"/>
      <c r="S31" s="305" t="n"/>
      <c r="T31" s="305" t="n">
        <v>3</v>
      </c>
      <c r="U31" s="305" t="n">
        <v>2</v>
      </c>
      <c r="V31" s="78">
        <f>SUM(M31:U31)</f>
        <v/>
      </c>
      <c r="W31" s="39">
        <f>V31 - (V31 * (SUBSTITUTE(SUBSTITUTE($W$2, "Optimistic (", ""), "%)", "") / 100))</f>
        <v/>
      </c>
      <c r="X31" s="39">
        <f>V31 + (V31 * (SUBSTITUTE(SUBSTITUTE($X$2, "Pessimistic (", ""), "%)", "") / 100))</f>
        <v/>
      </c>
      <c r="Y31" s="79">
        <f>(W31+(4*V31)+X31)/6</f>
        <v/>
      </c>
      <c r="Z31" s="169">
        <f>Y31/2</f>
        <v/>
      </c>
      <c r="AA31" s="179" t="n">
        <v>46132</v>
      </c>
      <c r="AB31" s="179" t="n">
        <v>46142</v>
      </c>
      <c r="AC31" s="179" t="n">
        <v>46143</v>
      </c>
      <c r="AD31" s="179" t="n">
        <v>46153</v>
      </c>
      <c r="AE31" s="200">
        <f>IF($Z31="",0,IF($M31="",0,$M31))</f>
        <v/>
      </c>
      <c r="AF31" s="200">
        <f>IF(OR($Z31="",$N31=""),0,$Z31*5%)</f>
        <v/>
      </c>
      <c r="AG31" s="200">
        <f>IF(OR($Z31="",$O31=""),0,$Z31*10%)</f>
        <v/>
      </c>
      <c r="AH31" s="200">
        <f>IF($Z31="",0,IF(AND($P31="",$Q31=""),($Z31-$AE31-$AF31-$AG31-$AJ31-$AK31-$AL31-$AM31-$AN31),IF($P31="",0,IF($Q31="",($Z31-$AE31-$AF31-$AG31-$AJ31-$AK31-$AL31-$AM31-$AN31),($Z31-$AE31-$AF31-$AG31-$AJ31-$AK31-$AL31-$AM31-$AN31)*40%/(40%+15%)))))</f>
        <v/>
      </c>
      <c r="AI31" s="200">
        <f>IF($Z31="",0,IF(AND($P31="",$Q31=""),0,IF($Q31="",0,IF($P31="",($Z31-$AE31-$AF31-$AG31-$AJ31-$AK31-$AL31-$AM31-$AN31),($Z31-$AE31-$AF31-$AG31-$AJ31-$AK31-$AL31-$AM31-$AN31)*15%/(40%+15%)))))</f>
        <v/>
      </c>
      <c r="AJ31" s="282">
        <f>IF($Z31="",0,$Z31*15%)</f>
        <v/>
      </c>
      <c r="AK31" s="200">
        <f>IF($Z31="",0,IF($R31="",0,$R31))</f>
        <v/>
      </c>
      <c r="AL31" s="200">
        <f>IF(OR($Z31="",$S31=""),0,$Z31*5%)</f>
        <v/>
      </c>
      <c r="AM31" s="200">
        <f>IF(OR($Z31="",$T31=""),0,$Z31*10%)</f>
        <v/>
      </c>
      <c r="AN31" s="200">
        <f>IF($Z31="",0,IF($U31="",0,$U31))</f>
        <v/>
      </c>
    </row>
    <row r="32" ht="18" customHeight="1" s="300">
      <c r="A32" s="84">
        <f>IF(D32="","",A31+1)</f>
        <v/>
      </c>
      <c r="B32" s="306" t="n"/>
      <c r="C32" s="70" t="inlineStr">
        <is>
          <t>Notification</t>
        </is>
      </c>
      <c r="D32" s="101" t="inlineStr">
        <is>
          <t>Notification via Email /SMS</t>
        </is>
      </c>
      <c r="E32" s="240" t="n"/>
      <c r="F32" s="85" t="inlineStr">
        <is>
          <t>PGL</t>
        </is>
      </c>
      <c r="G32" s="89" t="n"/>
      <c r="H32" s="70" t="n"/>
      <c r="I32" s="70" t="n"/>
      <c r="J32" s="70" t="n"/>
      <c r="K32" s="70" t="n"/>
      <c r="L32" s="70" t="n"/>
      <c r="M32" s="305" t="n"/>
      <c r="N32" s="305" t="n"/>
      <c r="O32" s="305" t="n">
        <v>1</v>
      </c>
      <c r="P32" s="305" t="n">
        <v>2</v>
      </c>
      <c r="Q32" s="305" t="n">
        <v>2</v>
      </c>
      <c r="R32" s="305" t="n"/>
      <c r="S32" s="305" t="n">
        <v>1</v>
      </c>
      <c r="T32" s="305" t="n">
        <v>2</v>
      </c>
      <c r="U32" s="305" t="n"/>
      <c r="V32" s="78">
        <f>SUM(M32:U32)</f>
        <v/>
      </c>
      <c r="W32" s="39">
        <f>V32 - (V32 * (SUBSTITUTE(SUBSTITUTE($W$2, "Optimistic (", ""), "%)", "") / 100))</f>
        <v/>
      </c>
      <c r="X32" s="39">
        <f>V32 + (V32 * (SUBSTITUTE(SUBSTITUTE($X$2, "Pessimistic (", ""), "%)", "") / 100))</f>
        <v/>
      </c>
      <c r="Y32" s="79">
        <f>(W32+(4*V32)+X32)/6</f>
        <v/>
      </c>
      <c r="Z32" s="169">
        <f>Y32/2</f>
        <v/>
      </c>
      <c r="AA32" s="180" t="n"/>
      <c r="AB32" s="180" t="n"/>
      <c r="AC32" s="180" t="n"/>
      <c r="AD32" s="181" t="n"/>
      <c r="AE32" s="200">
        <f>IF($Z32="",0,IF($M32="",0,$M32))</f>
        <v/>
      </c>
      <c r="AF32" s="200">
        <f>IF(OR($Z32="",$N32=""),0,$Z32*5%)</f>
        <v/>
      </c>
      <c r="AG32" s="200">
        <f>IF(OR($Z32="",$O32=""),0,$Z32*10%)</f>
        <v/>
      </c>
      <c r="AH32" s="200">
        <f>IF($Z32="",0,IF(AND($P32="",$Q32=""),($Z32-$AE32-$AF32-$AG32-$AJ32-$AK32-$AL32-$AM32-$AN32),IF($P32="",0,IF($Q32="",($Z32-$AE32-$AF32-$AG32-$AJ32-$AK32-$AL32-$AM32-$AN32),($Z32-$AE32-$AF32-$AG32-$AJ32-$AK32-$AL32-$AM32-$AN32)*40%/(40%+15%)))))</f>
        <v/>
      </c>
      <c r="AI32" s="200">
        <f>IF($Z32="",0,IF(AND($P32="",$Q32=""),0,IF($Q32="",0,IF($P32="",($Z32-$AE32-$AF32-$AG32-$AJ32-$AK32-$AL32-$AM32-$AN32),($Z32-$AE32-$AF32-$AG32-$AJ32-$AK32-$AL32-$AM32-$AN32)*15%/(40%+15%)))))</f>
        <v/>
      </c>
      <c r="AJ32" s="282">
        <f>IF($Z32="",0,$Z32*15%)</f>
        <v/>
      </c>
      <c r="AK32" s="200">
        <f>IF($Z32="",0,IF($R32="",0,$R32))</f>
        <v/>
      </c>
      <c r="AL32" s="200">
        <f>IF(OR($Z32="",$S32=""),0,$Z32*5%)</f>
        <v/>
      </c>
      <c r="AM32" s="200">
        <f>IF(OR($Z32="",$T32=""),0,$Z32*10%)</f>
        <v/>
      </c>
      <c r="AN32" s="200">
        <f>IF($Z32="",0,IF($U32="",0,$U32))</f>
        <v/>
      </c>
    </row>
    <row r="33" hidden="1" ht="18" customHeight="1" s="300">
      <c r="A33" s="84">
        <f>IF(D33="","",A32+1)</f>
        <v/>
      </c>
      <c r="B33" s="306" t="n"/>
      <c r="C33" s="70" t="inlineStr">
        <is>
          <t>Gen AI</t>
        </is>
      </c>
      <c r="D33" s="92" t="inlineStr">
        <is>
          <t>FuelChat - Summarized version</t>
        </is>
      </c>
      <c r="E33" s="246" t="inlineStr">
        <is>
          <t>https://octopusdtlsupport.atlassian.net/browse/FF-312</t>
        </is>
      </c>
      <c r="F33" s="85" t="inlineStr">
        <is>
          <t>RnD</t>
        </is>
      </c>
      <c r="G33" s="89" t="n"/>
      <c r="H33" s="70" t="n"/>
      <c r="I33" s="70" t="n"/>
      <c r="J33" s="70" t="n"/>
      <c r="K33" s="70" t="n"/>
      <c r="L33" s="70" t="n"/>
      <c r="M33" s="305" t="n"/>
      <c r="N33" s="305" t="n"/>
      <c r="O33" s="305" t="n">
        <v>3</v>
      </c>
      <c r="P33" s="305" t="n">
        <v>10</v>
      </c>
      <c r="Q33" s="305" t="n">
        <v>10</v>
      </c>
      <c r="R33" s="305" t="n"/>
      <c r="S33" s="305" t="n"/>
      <c r="T33" s="305" t="n">
        <v>2</v>
      </c>
      <c r="U33" s="305" t="n">
        <v>1</v>
      </c>
      <c r="V33" s="78">
        <f>SUM(M33:U33)</f>
        <v/>
      </c>
      <c r="W33" s="39">
        <f>V33 - (V33 * (SUBSTITUTE(SUBSTITUTE($W$2, "Optimistic (", ""), "%)", "") / 100))</f>
        <v/>
      </c>
      <c r="X33" s="39">
        <f>V33 + (V33 * (SUBSTITUTE(SUBSTITUTE($X$2, "Pessimistic (", ""), "%)", "") / 100))</f>
        <v/>
      </c>
      <c r="Y33" s="79">
        <f>(W33+(4*V33)+X33)/6</f>
        <v/>
      </c>
      <c r="Z33" s="169">
        <f>Y33/2</f>
        <v/>
      </c>
      <c r="AA33" s="179" t="n">
        <v>46146</v>
      </c>
      <c r="AB33" s="179" t="n">
        <v>46153</v>
      </c>
      <c r="AC33" s="179" t="n">
        <v>46154</v>
      </c>
      <c r="AD33" s="179" t="n">
        <v>46160</v>
      </c>
      <c r="AE33" s="200">
        <f>IF($Z33="",0,IF($M33="",0,$M33))</f>
        <v/>
      </c>
      <c r="AF33" s="200">
        <f>IF(OR($Z33="",$N33=""),0,$Z33*5%)</f>
        <v/>
      </c>
      <c r="AG33" s="200">
        <f>IF(OR($Z33="",$O33=""),0,$Z33*10%)</f>
        <v/>
      </c>
      <c r="AH33" s="200">
        <f>IF($Z33="",0,IF(AND($P33="",$Q33=""),($Z33-$AE33-$AF33-$AG33-$AJ33-$AK33-$AL33-$AM33-$AN33),IF($P33="",0,IF($Q33="",($Z33-$AE33-$AF33-$AG33-$AJ33-$AK33-$AL33-$AM33-$AN33),($Z33-$AE33-$AF33-$AG33-$AJ33-$AK33-$AL33-$AM33-$AN33)*40%/(40%+15%)))))</f>
        <v/>
      </c>
      <c r="AI33" s="200">
        <f>IF($Z33="",0,IF(AND($P33="",$Q33=""),0,IF($Q33="",0,IF($P33="",($Z33-$AE33-$AF33-$AG33-$AJ33-$AK33-$AL33-$AM33-$AN33),($Z33-$AE33-$AF33-$AG33-$AJ33-$AK33-$AL33-$AM33-$AN33)*15%/(40%+15%)))))</f>
        <v/>
      </c>
      <c r="AJ33" s="282">
        <f>IF($Z33="",0,$Z33*15%)</f>
        <v/>
      </c>
      <c r="AK33" s="200">
        <f>IF($Z33="",0,IF($R33="",0,$R33))</f>
        <v/>
      </c>
      <c r="AL33" s="200">
        <f>IF(OR($Z33="",$S33=""),0,$Z33*5%)</f>
        <v/>
      </c>
      <c r="AM33" s="200">
        <f>IF(OR($Z33="",$T33=""),0,$Z33*10%)</f>
        <v/>
      </c>
      <c r="AN33" s="200">
        <f>IF($Z33="",0,IF($U33="",0,$U33))</f>
        <v/>
      </c>
    </row>
    <row r="34" hidden="1" ht="18" customHeight="1" s="300">
      <c r="A34" s="84">
        <f>IF(D34="","",A33+1)</f>
        <v/>
      </c>
      <c r="B34" s="307" t="n"/>
      <c r="C34" s="70" t="inlineStr">
        <is>
          <t>Multi-language</t>
        </is>
      </c>
      <c r="D34" s="91" t="inlineStr">
        <is>
          <t>Support for multi language</t>
        </is>
      </c>
      <c r="E34" s="246" t="inlineStr">
        <is>
          <t>https://octopusdtlsupport.atlassian.net/browse/FF-498</t>
        </is>
      </c>
      <c r="F34" s="85" t="inlineStr">
        <is>
          <t>Competitive</t>
        </is>
      </c>
      <c r="G34" s="89" t="n"/>
      <c r="H34" s="70" t="n"/>
      <c r="I34" s="70" t="n"/>
      <c r="J34" s="70" t="n"/>
      <c r="K34" s="70" t="n"/>
      <c r="L34" s="70" t="n"/>
      <c r="M34" s="305" t="n"/>
      <c r="N34" s="305" t="n"/>
      <c r="O34" s="305">
        <f>5+2</f>
        <v/>
      </c>
      <c r="P34" s="305">
        <f>10+5</f>
        <v/>
      </c>
      <c r="Q34" s="305" t="n">
        <v>5</v>
      </c>
      <c r="R34" s="305" t="n"/>
      <c r="S34" s="305" t="n">
        <v>3</v>
      </c>
      <c r="T34" s="305" t="n">
        <v>3</v>
      </c>
      <c r="U34" s="305" t="n"/>
      <c r="V34" s="78">
        <f>SUM(M34:U34)</f>
        <v/>
      </c>
      <c r="W34" s="39">
        <f>V34 - (V34 * (SUBSTITUTE(SUBSTITUTE($W$2, "Optimistic (", ""), "%)", "") / 100))</f>
        <v/>
      </c>
      <c r="X34" s="39">
        <f>V34 + (V34 * (SUBSTITUTE(SUBSTITUTE($X$2, "Pessimistic (", ""), "%)", "") / 100))</f>
        <v/>
      </c>
      <c r="Y34" s="79">
        <f>(W34+(4*V34)+X34)/6</f>
        <v/>
      </c>
      <c r="Z34" s="169">
        <f>Y34/2</f>
        <v/>
      </c>
      <c r="AA34" s="179" t="n">
        <v>46120</v>
      </c>
      <c r="AB34" s="179" t="n">
        <v>46134</v>
      </c>
      <c r="AC34" s="179" t="n">
        <v>46146</v>
      </c>
      <c r="AD34" s="179" t="n">
        <v>46148</v>
      </c>
      <c r="AE34" s="200">
        <f>IF($Z34="",0,IF($M34="",0,$M34))</f>
        <v/>
      </c>
      <c r="AF34" s="200">
        <f>IF(OR($Z34="",$N34=""),0,$Z34*5%)</f>
        <v/>
      </c>
      <c r="AG34" s="200">
        <f>IF(OR($Z34="",$O34=""),0,$Z34*10%)</f>
        <v/>
      </c>
      <c r="AH34" s="200">
        <f>IF($Z34="",0,IF(AND($P34="",$Q34=""),($Z34-$AE34-$AF34-$AG34-$AJ34-$AK34-$AL34-$AM34-$AN34),IF($P34="",0,IF($Q34="",($Z34-$AE34-$AF34-$AG34-$AJ34-$AK34-$AL34-$AM34-$AN34),($Z34-$AE34-$AF34-$AG34-$AJ34-$AK34-$AL34-$AM34-$AN34)*40%/(40%+15%)))))</f>
        <v/>
      </c>
      <c r="AI34" s="200">
        <f>IF($Z34="",0,IF(AND($P34="",$Q34=""),0,IF($Q34="",0,IF($P34="",($Z34-$AE34-$AF34-$AG34-$AJ34-$AK34-$AL34-$AM34-$AN34),($Z34-$AE34-$AF34-$AG34-$AJ34-$AK34-$AL34-$AM34-$AN34)*15%/(40%+15%)))))</f>
        <v/>
      </c>
      <c r="AJ34" s="282">
        <f>IF($Z34="",0,$Z34*15%)</f>
        <v/>
      </c>
      <c r="AK34" s="200">
        <f>IF($Z34="",0,IF($R34="",0,$R34))</f>
        <v/>
      </c>
      <c r="AL34" s="200">
        <f>IF(OR($Z34="",$S34=""),0,$Z34*5%)</f>
        <v/>
      </c>
      <c r="AM34" s="200">
        <f>IF(OR($Z34="",$T34=""),0,$Z34*10%)</f>
        <v/>
      </c>
      <c r="AN34" s="200">
        <f>IF($Z34="",0,IF($U34="",0,$U34))</f>
        <v/>
      </c>
    </row>
    <row r="35" hidden="1" ht="18" customHeight="1" s="300">
      <c r="A35" s="84">
        <f>IF(D35="","",A34+1)</f>
        <v/>
      </c>
      <c r="B35" s="70" t="inlineStr">
        <is>
          <t>Support Tickets</t>
        </is>
      </c>
      <c r="C35" s="70" t="inlineStr">
        <is>
          <t>Support Tickets</t>
        </is>
      </c>
      <c r="D35" s="91" t="inlineStr">
        <is>
          <t>None</t>
        </is>
      </c>
      <c r="E35" s="241" t="n"/>
      <c r="F35" s="85" t="n"/>
      <c r="G35" s="89" t="n"/>
      <c r="H35" s="70" t="n"/>
      <c r="I35" s="70" t="n"/>
      <c r="J35" s="70" t="n"/>
      <c r="K35" s="70" t="n"/>
      <c r="L35" s="70" t="n"/>
      <c r="M35" s="305" t="n"/>
      <c r="N35" s="305" t="n"/>
      <c r="O35" s="305" t="n"/>
      <c r="P35" s="305" t="n"/>
      <c r="Q35" s="305" t="n"/>
      <c r="R35" s="305" t="n"/>
      <c r="S35" s="305" t="n"/>
      <c r="T35" s="305" t="n"/>
      <c r="U35" s="305" t="n"/>
      <c r="V35" s="78">
        <f>SUM(M35:U35)</f>
        <v/>
      </c>
      <c r="W35" s="39">
        <f>V35 - (V35 * (SUBSTITUTE(SUBSTITUTE($W$2, "Optimistic (", ""), "%)", "") / 100))</f>
        <v/>
      </c>
      <c r="X35" s="39">
        <f>V35 + (V35 * (SUBSTITUTE(SUBSTITUTE($X$2, "Pessimistic (", ""), "%)", "") / 100))</f>
        <v/>
      </c>
      <c r="Y35" s="79">
        <f>(W35+(4*V35)+X35)/6</f>
        <v/>
      </c>
      <c r="Z35" s="169">
        <f>Y35/2</f>
        <v/>
      </c>
      <c r="AA35" s="180" t="n"/>
      <c r="AB35" s="180" t="n"/>
      <c r="AC35" s="180" t="n"/>
      <c r="AD35" s="181" t="n"/>
      <c r="AE35" s="200">
        <f>IF($Z35="",0,IF($M35="",0,$M35))</f>
        <v/>
      </c>
      <c r="AF35" s="200">
        <f>IF(OR($Z35="",$N35=""),0,$Z35*5%)</f>
        <v/>
      </c>
      <c r="AG35" s="200">
        <f>IF(OR($Z35="",$O35=""),0,$Z35*10%)</f>
        <v/>
      </c>
      <c r="AH35" s="200">
        <f>IF($Z35="",0,IF(AND($P35="",$Q35=""),($Z35-$AE35-$AF35-$AG35-$AJ35-$AK35-$AL35-$AM35-$AN35),IF($P35="",0,IF($Q35="",($Z35-$AE35-$AF35-$AG35-$AJ35-$AK35-$AL35-$AM35-$AN35),($Z35-$AE35-$AF35-$AG35-$AJ35-$AK35-$AL35-$AM35-$AN35)*40%/(40%+15%)))))</f>
        <v/>
      </c>
      <c r="AI35" s="200">
        <f>IF($Z35="",0,IF(AND($P35="",$Q35=""),0,IF($Q35="",0,IF($P35="",($Z35-$AE35-$AF35-$AG35-$AJ35-$AK35-$AL35-$AM35-$AN35),($Z35-$AE35-$AF35-$AG35-$AJ35-$AK35-$AL35-$AM35-$AN35)*15%/(40%+15%)))))</f>
        <v/>
      </c>
      <c r="AJ35" s="282">
        <f>IF($Z35="",0,$Z35*15%)</f>
        <v/>
      </c>
      <c r="AK35" s="200">
        <f>IF($Z35="",0,IF($R35="",0,$R35))</f>
        <v/>
      </c>
      <c r="AL35" s="200">
        <f>IF(OR($Z35="",$S35=""),0,$Z35*5%)</f>
        <v/>
      </c>
      <c r="AM35" s="200">
        <f>IF(OR($Z35="",$T35=""),0,$Z35*10%)</f>
        <v/>
      </c>
      <c r="AN35" s="200">
        <f>IF($Z35="",0,IF($U35="",0,$U35))</f>
        <v/>
      </c>
    </row>
    <row r="36" ht="18" customHeight="1" s="300">
      <c r="A36" s="84">
        <f>IF(D36="","",A35+1)</f>
        <v/>
      </c>
      <c r="B36" s="70" t="inlineStr">
        <is>
          <t>TO CATEGORIZE YET</t>
        </is>
      </c>
      <c r="C36" s="70" t="inlineStr">
        <is>
          <t>TO CATEGORIZE YET</t>
        </is>
      </c>
      <c r="D36" s="100" t="inlineStr">
        <is>
          <t>System health monitoring(Site Diagnostic) - (12h)</t>
        </is>
      </c>
      <c r="E36" s="247" t="inlineStr">
        <is>
          <t>https://octopusdtlsupport.atlassian.net/browse/FF-274</t>
        </is>
      </c>
      <c r="F36" s="86" t="inlineStr">
        <is>
          <t>PGL</t>
        </is>
      </c>
      <c r="G36" s="89" t="n"/>
      <c r="H36" s="70" t="n"/>
      <c r="I36" s="70" t="n"/>
      <c r="J36" s="70" t="n"/>
      <c r="K36" s="70" t="n"/>
      <c r="L36" s="70" t="n"/>
      <c r="M36" s="70" t="n"/>
      <c r="N36" s="70" t="n"/>
      <c r="O36" s="81" t="n">
        <v>5</v>
      </c>
      <c r="P36" s="81" t="n">
        <v>35</v>
      </c>
      <c r="Q36" s="81" t="n">
        <v>5</v>
      </c>
      <c r="R36" s="70" t="n"/>
      <c r="S36" s="70" t="n">
        <v>5</v>
      </c>
      <c r="T36" s="70" t="n"/>
      <c r="U36" s="70" t="n">
        <v>2</v>
      </c>
      <c r="V36" s="78">
        <f>SUM(M36:U36)</f>
        <v/>
      </c>
      <c r="W36" s="39">
        <f>V36 - (V36 * (SUBSTITUTE(SUBSTITUTE($W$2, "Optimistic (", ""), "%)", "") / 100))</f>
        <v/>
      </c>
      <c r="X36" s="39">
        <f>V36 + (V36 * (SUBSTITUTE(SUBSTITUTE($X$2, "Pessimistic (", ""), "%)", "") / 100))</f>
        <v/>
      </c>
      <c r="Y36" s="79">
        <f>(W36+(4*V36)+X36)/6</f>
        <v/>
      </c>
      <c r="Z36" s="169">
        <f>Y36/2</f>
        <v/>
      </c>
      <c r="AA36" s="179" t="n">
        <v>46120</v>
      </c>
      <c r="AB36" s="179" t="n">
        <v>46129</v>
      </c>
      <c r="AC36" s="179" t="n">
        <v>46146</v>
      </c>
      <c r="AD36" s="179" t="n">
        <v>46148</v>
      </c>
      <c r="AE36" s="200">
        <f>IF($Z36="",0,IF($M36="",0,$M36))</f>
        <v/>
      </c>
      <c r="AF36" s="200">
        <f>IF(OR($Z36="",$N36=""),0,$Z36*5%)</f>
        <v/>
      </c>
      <c r="AG36" s="200">
        <f>IF(OR($Z36="",$O36=""),0,$Z36*10%)</f>
        <v/>
      </c>
      <c r="AH36" s="200">
        <f>IF($Z36="",0,IF(AND($P36="",$Q36=""),($Z36-$AE36-$AF36-$AG36-$AJ36-$AK36-$AL36-$AM36-$AN36),IF($P36="",0,IF($Q36="",($Z36-$AE36-$AF36-$AG36-$AJ36-$AK36-$AL36-$AM36-$AN36),($Z36-$AE36-$AF36-$AG36-$AJ36-$AK36-$AL36-$AM36-$AN36)*40%/(40%+15%)))))</f>
        <v/>
      </c>
      <c r="AI36" s="200">
        <f>IF($Z36="",0,IF(AND($P36="",$Q36=""),0,IF($Q36="",0,IF($P36="",($Z36-$AE36-$AF36-$AG36-$AJ36-$AK36-$AL36-$AM36-$AN36),($Z36-$AE36-$AF36-$AG36-$AJ36-$AK36-$AL36-$AM36-$AN36)*15%/(40%+15%)))))</f>
        <v/>
      </c>
      <c r="AJ36" s="282">
        <f>IF($Z36="",0,$Z36*15%)</f>
        <v/>
      </c>
      <c r="AK36" s="200">
        <f>IF($Z36="",0,IF($R36="",0,$R36))</f>
        <v/>
      </c>
      <c r="AL36" s="200">
        <f>IF(OR($Z36="",$S36=""),0,$Z36*5%)</f>
        <v/>
      </c>
      <c r="AM36" s="200">
        <f>IF(OR($Z36="",$T36=""),0,$Z36*10%)</f>
        <v/>
      </c>
      <c r="AN36" s="200">
        <f>IF($Z36="",0,IF($U36="",0,$U36))</f>
        <v/>
      </c>
    </row>
    <row r="37" ht="18" customHeight="1" s="300">
      <c r="A37" s="84">
        <f>IF(D37="","",A36+1)</f>
        <v/>
      </c>
      <c r="B37" s="70" t="inlineStr">
        <is>
          <t>TO CATEGORIZE YET</t>
        </is>
      </c>
      <c r="C37" s="70" t="inlineStr">
        <is>
          <t>TO CATEGORIZE YET</t>
        </is>
      </c>
      <c r="D37" s="95" t="inlineStr">
        <is>
          <t>Calculate Tank delivery (Alsons device)</t>
        </is>
      </c>
      <c r="E37" s="254" t="inlineStr">
        <is>
          <t>https://octopusdtlsupport.atlassian.net/browse/FF-542</t>
        </is>
      </c>
      <c r="F37" s="86" t="inlineStr">
        <is>
          <t>PGL</t>
        </is>
      </c>
      <c r="G37" s="89" t="n"/>
      <c r="H37" s="70" t="n"/>
      <c r="I37" s="70" t="n"/>
      <c r="J37" s="70" t="n"/>
      <c r="K37" s="70" t="n"/>
      <c r="L37" s="70" t="n"/>
      <c r="M37" s="70" t="n"/>
      <c r="N37" s="70" t="n"/>
      <c r="O37" s="81" t="n">
        <v>3</v>
      </c>
      <c r="P37" s="81" t="n">
        <v>3</v>
      </c>
      <c r="Q37" s="81" t="n">
        <v>2</v>
      </c>
      <c r="R37" s="70" t="n"/>
      <c r="S37" s="70" t="n">
        <v>5</v>
      </c>
      <c r="T37" s="70" t="n"/>
      <c r="U37" s="70" t="n">
        <v>2</v>
      </c>
      <c r="V37" s="78">
        <f>SUM(M37:U37)</f>
        <v/>
      </c>
      <c r="W37" s="39">
        <f>V37 - (V37 * (SUBSTITUTE(SUBSTITUTE($W$2, "Optimistic (", ""), "%)", "") / 100))</f>
        <v/>
      </c>
      <c r="X37" s="39">
        <f>V37 + (V37 * (SUBSTITUTE(SUBSTITUTE($X$2, "Pessimistic (", ""), "%)", "") / 100))</f>
        <v/>
      </c>
      <c r="Y37" s="79">
        <f>(W37+(4*V37)+X37)/6</f>
        <v/>
      </c>
      <c r="Z37" s="169">
        <f>Y37/2</f>
        <v/>
      </c>
      <c r="AA37" s="180" t="n"/>
      <c r="AB37" s="180" t="n"/>
      <c r="AC37" s="180" t="n"/>
      <c r="AD37" s="181" t="n"/>
      <c r="AE37" s="200">
        <f>IF($Z37="",0,IF($M37="",0,$M37))</f>
        <v/>
      </c>
      <c r="AF37" s="200">
        <f>IF(OR($Z37="",$N37=""),0,$Z37*5%)</f>
        <v/>
      </c>
      <c r="AG37" s="200">
        <f>IF(OR($Z37="",$O37=""),0,$Z37*10%)</f>
        <v/>
      </c>
      <c r="AH37" s="200">
        <f>IF($Z37="",0,IF(AND($P37="",$Q37=""),($Z37-$AE37-$AF37-$AG37-$AJ37-$AK37-$AL37-$AM37-$AN37),IF($P37="",0,IF($Q37="",($Z37-$AE37-$AF37-$AG37-$AJ37-$AK37-$AL37-$AM37-$AN37),($Z37-$AE37-$AF37-$AG37-$AJ37-$AK37-$AL37-$AM37-$AN37)*40%/(40%+15%)))))</f>
        <v/>
      </c>
      <c r="AI37" s="200">
        <f>IF($Z37="",0,IF(AND($P37="",$Q37=""),0,IF($Q37="",0,IF($P37="",($Z37-$AE37-$AF37-$AG37-$AJ37-$AK37-$AL37-$AM37-$AN37),($Z37-$AE37-$AF37-$AG37-$AJ37-$AK37-$AL37-$AM37-$AN37)*15%/(40%+15%)))))</f>
        <v/>
      </c>
      <c r="AJ37" s="282">
        <f>IF($Z37="",0,$Z37*15%)</f>
        <v/>
      </c>
      <c r="AK37" s="200">
        <f>IF($Z37="",0,IF($R37="",0,$R37))</f>
        <v/>
      </c>
      <c r="AL37" s="200">
        <f>IF(OR($Z37="",$S37=""),0,$Z37*5%)</f>
        <v/>
      </c>
      <c r="AM37" s="200">
        <f>IF(OR($Z37="",$T37=""),0,$Z37*10%)</f>
        <v/>
      </c>
      <c r="AN37" s="200">
        <f>IF($Z37="",0,IF($U37="",0,$U37))</f>
        <v/>
      </c>
    </row>
    <row r="38" ht="198" customHeight="1" s="300">
      <c r="A38" s="84">
        <f>IF(D38="","",A37+1)</f>
        <v/>
      </c>
      <c r="B38" s="70" t="inlineStr">
        <is>
          <t>TO CATEGORIZE YET</t>
        </is>
      </c>
      <c r="C38" s="70" t="inlineStr">
        <is>
          <t>TO CATEGORIZE YET</t>
        </is>
      </c>
      <c r="D38" s="96" t="inlineStr">
        <is>
          <t>Unified Platform &amp; Multi-Site Visibility (Consolidated view for all sites)
- The client wants a unified platform that provides information from all plant sites in one place.
- Key data points requested in the unified view include storage tank volume and timestamped deliveries.
- The solution must support network-scale visibility for hundreds of sites, not just a small pilot set.
- Different user levels, including management, leadership, supervisors, and operations teams, need different views of the same data.
- Visibility of sites, targets, and data should follow the assigned user hierarchy.</t>
        </is>
      </c>
      <c r="E38" s="242" t="n"/>
      <c r="F38" s="86" t="inlineStr">
        <is>
          <t>PGL</t>
        </is>
      </c>
      <c r="G38" s="89" t="n"/>
      <c r="H38" s="70" t="n"/>
      <c r="I38" s="70" t="n"/>
      <c r="J38" s="70" t="n"/>
      <c r="K38" s="70" t="n"/>
      <c r="L38" s="70" t="n"/>
      <c r="M38" s="70" t="n"/>
      <c r="N38" s="70" t="n"/>
      <c r="O38" s="81" t="n">
        <v>4</v>
      </c>
      <c r="P38" s="81" t="n">
        <v>10</v>
      </c>
      <c r="Q38" s="81" t="n">
        <v>5</v>
      </c>
      <c r="R38" s="70" t="n"/>
      <c r="S38" s="70" t="n">
        <v>5</v>
      </c>
      <c r="T38" s="70" t="n"/>
      <c r="U38" s="70" t="n">
        <v>2</v>
      </c>
      <c r="V38" s="78">
        <f>SUM(M38:U38)</f>
        <v/>
      </c>
      <c r="W38" s="39">
        <f>V38 - (V38 * (SUBSTITUTE(SUBSTITUTE($W$2, "Optimistic (", ""), "%)", "") / 100))</f>
        <v/>
      </c>
      <c r="X38" s="39">
        <f>V38 + (V38 * (SUBSTITUTE(SUBSTITUTE($X$2, "Pessimistic (", ""), "%)", "") / 100))</f>
        <v/>
      </c>
      <c r="Y38" s="79">
        <f>(W38+(4*V38)+X38)/6</f>
        <v/>
      </c>
      <c r="Z38" s="169">
        <f>Y38/2</f>
        <v/>
      </c>
      <c r="AA38" s="180" t="n"/>
      <c r="AB38" s="180" t="n"/>
      <c r="AC38" s="180" t="n"/>
      <c r="AD38" s="181" t="n"/>
      <c r="AE38" s="200">
        <f>IF($Z38="",0,IF($M38="",0,$M38))</f>
        <v/>
      </c>
      <c r="AF38" s="200">
        <f>IF(OR($Z38="",$N38=""),0,$Z38*5%)</f>
        <v/>
      </c>
      <c r="AG38" s="200">
        <f>IF(OR($Z38="",$O38=""),0,$Z38*10%)</f>
        <v/>
      </c>
      <c r="AH38" s="200">
        <f>IF($Z38="",0,IF(AND($P38="",$Q38=""),($Z38-$AE38-$AF38-$AG38-$AJ38-$AK38-$AL38-$AM38-$AN38),IF($P38="",0,IF($Q38="",($Z38-$AE38-$AF38-$AG38-$AJ38-$AK38-$AL38-$AM38-$AN38),($Z38-$AE38-$AF38-$AG38-$AJ38-$AK38-$AL38-$AM38-$AN38)*40%/(40%+15%)))))</f>
        <v/>
      </c>
      <c r="AI38" s="200">
        <f>IF($Z38="",0,IF(AND($P38="",$Q38=""),0,IF($Q38="",0,IF($P38="",($Z38-$AE38-$AF38-$AG38-$AJ38-$AK38-$AL38-$AM38-$AN38),($Z38-$AE38-$AF38-$AG38-$AJ38-$AK38-$AL38-$AM38-$AN38)*15%/(40%+15%)))))</f>
        <v/>
      </c>
      <c r="AJ38" s="282">
        <f>IF($Z38="",0,$Z38*15%)</f>
        <v/>
      </c>
      <c r="AK38" s="200">
        <f>IF($Z38="",0,IF($R38="",0,$R38))</f>
        <v/>
      </c>
      <c r="AL38" s="200">
        <f>IF(OR($Z38="",$S38=""),0,$Z38*5%)</f>
        <v/>
      </c>
      <c r="AM38" s="200">
        <f>IF(OR($Z38="",$T38=""),0,$Z38*10%)</f>
        <v/>
      </c>
      <c r="AN38" s="200">
        <f>IF($Z38="",0,IF($U38="",0,$U38))</f>
        <v/>
      </c>
    </row>
    <row r="39" ht="18" customHeight="1" s="300">
      <c r="A39" s="84">
        <f>IF(D39="","",A38+1)</f>
        <v/>
      </c>
      <c r="B39" s="70" t="inlineStr">
        <is>
          <t>TO CATEGORIZE YET</t>
        </is>
      </c>
      <c r="C39" s="70" t="inlineStr">
        <is>
          <t>TO CATEGORIZE YET</t>
        </is>
      </c>
      <c r="D39" s="97" t="inlineStr">
        <is>
          <t>Deliveries &amp; Delivery Identification
- Deliveries are already available with timestamps in Fintech Fuel.
- The client wants to distinguish PGL deliveries from non-PGL deliveries, with a clear classification such as PGL and Not PGL.
- At COCO sites, current deliveries are considered PGL deliveries.
- At DODO sites, the client needs a way to identify who decanted product into storage because multiple providers may use the same storage.
- The current level of control at DODO sites is weaker than at COCO sites, and the client wants better controls in Fintech Fuel.
- The Deliveries page should use the industry term Delivery Note instead of Bill of Lading.
- For imported products, a delivery note or lading reference should be captured on the UI.
- A lading reference is currently seen as a reference point only and not as a full control mechanism.
- The client wants this requirement captured as a KPI or future control area even if it is initially implemented as a wish-list item.
- The system should highlight cases where actual decanted quantity exceeds expected quantity.
- Manual delivery references alone are not sufficient to establish end-to-end control.</t>
        </is>
      </c>
      <c r="E39" s="243" t="n"/>
      <c r="F39" s="86" t="inlineStr">
        <is>
          <t>PGL</t>
        </is>
      </c>
      <c r="G39" s="89" t="n"/>
      <c r="H39" s="70" t="n"/>
      <c r="I39" s="70" t="n"/>
      <c r="J39" s="70" t="n"/>
      <c r="K39" s="70" t="n"/>
      <c r="L39" s="70" t="n"/>
      <c r="M39" s="70" t="n"/>
      <c r="N39" s="70" t="n"/>
      <c r="O39" s="81" t="n">
        <v>4</v>
      </c>
      <c r="P39" s="81" t="n">
        <v>4</v>
      </c>
      <c r="Q39" s="81" t="n">
        <v>3</v>
      </c>
      <c r="R39" s="70" t="n"/>
      <c r="S39" s="70" t="n">
        <v>5</v>
      </c>
      <c r="T39" s="70" t="n"/>
      <c r="U39" s="70" t="n">
        <v>2</v>
      </c>
      <c r="V39" s="78">
        <f>SUM(M39:U39)</f>
        <v/>
      </c>
      <c r="W39" s="39">
        <f>V39 - (V39 * (SUBSTITUTE(SUBSTITUTE($W$2, "Optimistic (", ""), "%)", "") / 100))</f>
        <v/>
      </c>
      <c r="X39" s="39">
        <f>V39 + (V39 * (SUBSTITUTE(SUBSTITUTE($X$2, "Pessimistic (", ""), "%)", "") / 100))</f>
        <v/>
      </c>
      <c r="Y39" s="79">
        <f>(W39+(4*V39)+X39)/6</f>
        <v/>
      </c>
      <c r="Z39" s="169">
        <f>Y39/2</f>
        <v/>
      </c>
      <c r="AA39" s="180" t="n"/>
      <c r="AB39" s="180" t="n"/>
      <c r="AC39" s="180" t="n"/>
      <c r="AD39" s="181" t="n"/>
      <c r="AE39" s="200">
        <f>IF($Z39="",0,IF($M39="",0,$M39))</f>
        <v/>
      </c>
      <c r="AF39" s="200">
        <f>IF(OR($Z39="",$N39=""),0,$Z39*5%)</f>
        <v/>
      </c>
      <c r="AG39" s="200">
        <f>IF(OR($Z39="",$O39=""),0,$Z39*10%)</f>
        <v/>
      </c>
      <c r="AH39" s="200">
        <f>IF($Z39="",0,IF(AND($P39="",$Q39=""),($Z39-$AE39-$AF39-$AG39-$AJ39-$AK39-$AL39-$AM39-$AN39),IF($P39="",0,IF($Q39="",($Z39-$AE39-$AF39-$AG39-$AJ39-$AK39-$AL39-$AM39-$AN39),($Z39-$AE39-$AF39-$AG39-$AJ39-$AK39-$AL39-$AM39-$AN39)*40%/(40%+15%)))))</f>
        <v/>
      </c>
      <c r="AI39" s="200">
        <f>IF($Z39="",0,IF(AND($P39="",$Q39=""),0,IF($Q39="",0,IF($P39="",($Z39-$AE39-$AF39-$AG39-$AJ39-$AK39-$AL39-$AM39-$AN39),($Z39-$AE39-$AF39-$AG39-$AJ39-$AK39-$AL39-$AM39-$AN39)*15%/(40%+15%)))))</f>
        <v/>
      </c>
      <c r="AJ39" s="282">
        <f>IF($Z39="",0,$Z39*15%)</f>
        <v/>
      </c>
      <c r="AK39" s="200">
        <f>IF($Z39="",0,IF($R39="",0,$R39))</f>
        <v/>
      </c>
      <c r="AL39" s="200">
        <f>IF(OR($Z39="",$S39=""),0,$Z39*5%)</f>
        <v/>
      </c>
      <c r="AM39" s="200">
        <f>IF(OR($Z39="",$T39=""),0,$Z39*10%)</f>
        <v/>
      </c>
      <c r="AN39" s="200">
        <f>IF($Z39="",0,IF($U39="",0,$U39))</f>
        <v/>
      </c>
    </row>
    <row r="40" ht="18" customHeight="1" s="300">
      <c r="A40" s="84">
        <f>IF(D40="","",A39+1)</f>
        <v/>
      </c>
      <c r="B40" s="70" t="inlineStr">
        <is>
          <t>TO CATEGORIZE YET</t>
        </is>
      </c>
      <c r="C40" s="70" t="inlineStr">
        <is>
          <t>TO CATEGORIZE YET</t>
        </is>
      </c>
      <c r="D40" s="97" t="inlineStr">
        <is>
          <t>Dashboard Enhancements
- Visual representations
- Sales vs target trend must be dynamic not just last 7 days
- Stock level must be dynamic not just last 7 days
- Remove minute-level filters
- Show time of fetched data on stock-level
- positive/negative variance with color coding</t>
        </is>
      </c>
      <c r="E40" s="243" t="n"/>
      <c r="F40" s="86" t="inlineStr">
        <is>
          <t>PGL</t>
        </is>
      </c>
      <c r="G40" s="89" t="n"/>
      <c r="H40" s="70" t="n"/>
      <c r="I40" s="70" t="n"/>
      <c r="J40" s="70" t="n"/>
      <c r="K40" s="70" t="n"/>
      <c r="L40" s="70" t="n"/>
      <c r="M40" s="70" t="n"/>
      <c r="N40" s="70" t="n"/>
      <c r="O40" s="81" t="n">
        <v>0</v>
      </c>
      <c r="P40" s="81" t="n">
        <v>2</v>
      </c>
      <c r="Q40" s="81" t="n">
        <v>2</v>
      </c>
      <c r="R40" s="70" t="n"/>
      <c r="S40" s="70" t="n">
        <v>5</v>
      </c>
      <c r="T40" s="70" t="n"/>
      <c r="U40" s="70" t="n">
        <v>2</v>
      </c>
      <c r="V40" s="78">
        <f>SUM(M40:U40)</f>
        <v/>
      </c>
      <c r="W40" s="39">
        <f>V40 - (V40 * (SUBSTITUTE(SUBSTITUTE($W$2, "Optimistic (", ""), "%)", "") / 100))</f>
        <v/>
      </c>
      <c r="X40" s="39">
        <f>V40 + (V40 * (SUBSTITUTE(SUBSTITUTE($X$2, "Pessimistic (", ""), "%)", "") / 100))</f>
        <v/>
      </c>
      <c r="Y40" s="79">
        <f>(W40+(4*V40)+X40)/6</f>
        <v/>
      </c>
      <c r="Z40" s="169">
        <f>Y40/2</f>
        <v/>
      </c>
      <c r="AA40" s="180" t="n"/>
      <c r="AB40" s="180" t="n"/>
      <c r="AC40" s="180" t="n"/>
      <c r="AD40" s="181" t="n"/>
      <c r="AE40" s="200">
        <f>IF($Z40="",0,IF($M40="",0,$M40))</f>
        <v/>
      </c>
      <c r="AF40" s="200">
        <f>IF(OR($Z40="",$N40=""),0,$Z40*5%)</f>
        <v/>
      </c>
      <c r="AG40" s="200">
        <f>IF(OR($Z40="",$O40=""),0,$Z40*10%)</f>
        <v/>
      </c>
      <c r="AH40" s="200">
        <f>IF($Z40="",0,IF(AND($P40="",$Q40=""),($Z40-$AE40-$AF40-$AG40-$AJ40-$AK40-$AL40-$AM40-$AN40),IF($P40="",0,IF($Q40="",($Z40-$AE40-$AF40-$AG40-$AJ40-$AK40-$AL40-$AM40-$AN40),($Z40-$AE40-$AF40-$AG40-$AJ40-$AK40-$AL40-$AM40-$AN40)*40%/(40%+15%)))))</f>
        <v/>
      </c>
      <c r="AI40" s="200">
        <f>IF($Z40="",0,IF(AND($P40="",$Q40=""),0,IF($Q40="",0,IF($P40="",($Z40-$AE40-$AF40-$AG40-$AJ40-$AK40-$AL40-$AM40-$AN40),($Z40-$AE40-$AF40-$AG40-$AJ40-$AK40-$AL40-$AM40-$AN40)*15%/(40%+15%)))))</f>
        <v/>
      </c>
      <c r="AJ40" s="282">
        <f>IF($Z40="",0,$Z40*15%)</f>
        <v/>
      </c>
      <c r="AK40" s="200">
        <f>IF($Z40="",0,IF($R40="",0,$R40))</f>
        <v/>
      </c>
      <c r="AL40" s="200">
        <f>IF(OR($Z40="",$S40=""),0,$Z40*5%)</f>
        <v/>
      </c>
      <c r="AM40" s="200">
        <f>IF(OR($Z40="",$T40=""),0,$Z40*10%)</f>
        <v/>
      </c>
      <c r="AN40" s="200">
        <f>IF($Z40="",0,IF($U40="",0,$U40))</f>
        <v/>
      </c>
    </row>
    <row r="41" ht="18" customHeight="1" s="300">
      <c r="A41" s="84">
        <f>IF(D41="","",A40+1)</f>
        <v/>
      </c>
      <c r="B41" s="70" t="inlineStr">
        <is>
          <t>TO CATEGORIZE YET</t>
        </is>
      </c>
      <c r="C41" s="70" t="inlineStr">
        <is>
          <t>TO CATEGORIZE YET</t>
        </is>
      </c>
      <c r="D41" s="97" t="inlineStr">
        <is>
          <t>Historical Comparison &amp; Trend Analysis
- Comparison of different metrices like sales vs deliveries etc.</t>
        </is>
      </c>
      <c r="E41" s="243" t="n"/>
      <c r="F41" s="86" t="inlineStr">
        <is>
          <t>PGL</t>
        </is>
      </c>
      <c r="G41" s="89" t="n"/>
      <c r="H41" s="70" t="n"/>
      <c r="I41" s="70" t="n"/>
      <c r="J41" s="70" t="n"/>
      <c r="K41" s="70" t="n"/>
      <c r="L41" s="70" t="n"/>
      <c r="M41" s="70" t="n"/>
      <c r="N41" s="70" t="n"/>
      <c r="O41" s="81" t="n">
        <v>2</v>
      </c>
      <c r="P41" s="81" t="n">
        <v>6</v>
      </c>
      <c r="Q41" s="81" t="n">
        <v>3</v>
      </c>
      <c r="R41" s="70" t="n"/>
      <c r="S41" s="70" t="n">
        <v>5</v>
      </c>
      <c r="T41" s="70" t="n"/>
      <c r="U41" s="70" t="n">
        <v>2</v>
      </c>
      <c r="V41" s="78">
        <f>SUM(M41:U41)</f>
        <v/>
      </c>
      <c r="W41" s="39">
        <f>V41 - (V41 * (SUBSTITUTE(SUBSTITUTE($W$2, "Optimistic (", ""), "%)", "") / 100))</f>
        <v/>
      </c>
      <c r="X41" s="39">
        <f>V41 + (V41 * (SUBSTITUTE(SUBSTITUTE($X$2, "Pessimistic (", ""), "%)", "") / 100))</f>
        <v/>
      </c>
      <c r="Y41" s="79">
        <f>(W41+(4*V41)+X41)/6</f>
        <v/>
      </c>
      <c r="Z41" s="169">
        <f>Y41/2</f>
        <v/>
      </c>
      <c r="AA41" s="180" t="n"/>
      <c r="AB41" s="180" t="n"/>
      <c r="AC41" s="180" t="n"/>
      <c r="AD41" s="181" t="n"/>
      <c r="AE41" s="200">
        <f>IF($Z41="",0,IF($M41="",0,$M41))</f>
        <v/>
      </c>
      <c r="AF41" s="200">
        <f>IF(OR($Z41="",$N41=""),0,$Z41*5%)</f>
        <v/>
      </c>
      <c r="AG41" s="200">
        <f>IF(OR($Z41="",$O41=""),0,$Z41*10%)</f>
        <v/>
      </c>
      <c r="AH41" s="200">
        <f>IF($Z41="",0,IF(AND($P41="",$Q41=""),($Z41-$AE41-$AF41-$AG41-$AJ41-$AK41-$AL41-$AM41-$AN41),IF($P41="",0,IF($Q41="",($Z41-$AE41-$AF41-$AG41-$AJ41-$AK41-$AL41-$AM41-$AN41),($Z41-$AE41-$AF41-$AG41-$AJ41-$AK41-$AL41-$AM41-$AN41)*40%/(40%+15%)))))</f>
        <v/>
      </c>
      <c r="AI41" s="200">
        <f>IF($Z41="",0,IF(AND($P41="",$Q41=""),0,IF($Q41="",0,IF($P41="",($Z41-$AE41-$AF41-$AG41-$AJ41-$AK41-$AL41-$AM41-$AN41),($Z41-$AE41-$AF41-$AG41-$AJ41-$AK41-$AL41-$AM41-$AN41)*15%/(40%+15%)))))</f>
        <v/>
      </c>
      <c r="AJ41" s="282">
        <f>IF($Z41="",0,$Z41*15%)</f>
        <v/>
      </c>
      <c r="AK41" s="200">
        <f>IF($Z41="",0,IF($R41="",0,$R41))</f>
        <v/>
      </c>
      <c r="AL41" s="200">
        <f>IF(OR($Z41="",$S41=""),0,$Z41*5%)</f>
        <v/>
      </c>
      <c r="AM41" s="200">
        <f>IF(OR($Z41="",$T41=""),0,$Z41*10%)</f>
        <v/>
      </c>
      <c r="AN41" s="200">
        <f>IF($Z41="",0,IF($U41="",0,$U41))</f>
        <v/>
      </c>
    </row>
    <row r="42" ht="18" customHeight="1" s="300">
      <c r="A42" s="84">
        <f>IF(D42="","",A41+1)</f>
        <v/>
      </c>
      <c r="B42" s="70" t="inlineStr">
        <is>
          <t>TO CATEGORIZE YET</t>
        </is>
      </c>
      <c r="C42" s="70" t="inlineStr">
        <is>
          <t>TO CATEGORIZE YET</t>
        </is>
      </c>
      <c r="D42" s="97" t="inlineStr">
        <is>
          <t>Reconciliation &amp; Variance Analysis
- Reconciliation is a key area for the client, especially to monitor external uplifting.
- The reconciliation report should help users see how frequently variation occurs over time.
- The client wants anomaly highlighting for variances above selected thresholds.
- The current tabulated Excel-like representation is difficult to consume and needs a better UI/UX treatment.
- The user wants a product-tile style interaction where clicking a product reveals its reconciliation details.
- There is currently no way to define a threshold value in the system; the client asked for configurable selected thresholds.
- The system should highlight anomalies at the time of reconciliation.
- The reconciliation workflow should support investigation into why a difference exists.
- Initial anomaly reasons should at least include data disconnectivity, whether due to internet issues or equipment malfunction.
- The reconciliation report must show consistent data and clearly reflect when a site is not transmitting data.
- If data is missing, the report should show an exclusion note so the variance can be interpreted correctly.
- The client suggested a rule such as flagging any site where no data transmission happens for 60 or more minutes.
- Capturing the anomaly event is considered the first priority; the detailed report presentation can be refined with users afterward.
- The report should include a summary table on top for the selected period with one row per product, instead of only date-by-date product entries.
- The user emphasized that reconciliation UI/UX quality is a possible road blocker.</t>
        </is>
      </c>
      <c r="E42" s="243" t="n"/>
      <c r="F42" s="86" t="inlineStr">
        <is>
          <t>PGL</t>
        </is>
      </c>
      <c r="G42" s="89" t="n"/>
      <c r="H42" s="70" t="n"/>
      <c r="I42" s="70" t="n"/>
      <c r="J42" s="70" t="n"/>
      <c r="K42" s="70" t="n"/>
      <c r="L42" s="70" t="n"/>
      <c r="M42" s="70" t="n"/>
      <c r="N42" s="70" t="n"/>
      <c r="O42" s="81" t="n">
        <v>5</v>
      </c>
      <c r="P42" s="81" t="n">
        <v>17</v>
      </c>
      <c r="Q42" s="81" t="n">
        <v>5</v>
      </c>
      <c r="R42" s="70" t="n"/>
      <c r="S42" s="70" t="n">
        <v>5</v>
      </c>
      <c r="T42" s="70" t="n"/>
      <c r="U42" s="70" t="n">
        <v>2</v>
      </c>
      <c r="V42" s="78">
        <f>SUM(M42:U42)</f>
        <v/>
      </c>
      <c r="W42" s="39">
        <f>V42 - (V42 * (SUBSTITUTE(SUBSTITUTE($W$2, "Optimistic (", ""), "%)", "") / 100))</f>
        <v/>
      </c>
      <c r="X42" s="39">
        <f>V42 + (V42 * (SUBSTITUTE(SUBSTITUTE($X$2, "Pessimistic (", ""), "%)", "") / 100))</f>
        <v/>
      </c>
      <c r="Y42" s="79">
        <f>(W42+(4*V42)+X42)/6</f>
        <v/>
      </c>
      <c r="Z42" s="169">
        <f>Y42/2</f>
        <v/>
      </c>
      <c r="AA42" s="180" t="n"/>
      <c r="AB42" s="180" t="n"/>
      <c r="AC42" s="180" t="n"/>
      <c r="AD42" s="181" t="n"/>
      <c r="AE42" s="200">
        <f>IF($Z42="",0,IF($M42="",0,$M42))</f>
        <v/>
      </c>
      <c r="AF42" s="200">
        <f>IF(OR($Z42="",$N42=""),0,$Z42*5%)</f>
        <v/>
      </c>
      <c r="AG42" s="200">
        <f>IF(OR($Z42="",$O42=""),0,$Z42*10%)</f>
        <v/>
      </c>
      <c r="AH42" s="200">
        <f>IF($Z42="",0,IF(AND($P42="",$Q42=""),($Z42-$AE42-$AF42-$AG42-$AJ42-$AK42-$AL42-$AM42-$AN42),IF($P42="",0,IF($Q42="",($Z42-$AE42-$AF42-$AG42-$AJ42-$AK42-$AL42-$AM42-$AN42),($Z42-$AE42-$AF42-$AG42-$AJ42-$AK42-$AL42-$AM42-$AN42)*40%/(40%+15%)))))</f>
        <v/>
      </c>
      <c r="AI42" s="200">
        <f>IF($Z42="",0,IF(AND($P42="",$Q42=""),0,IF($Q42="",0,IF($P42="",($Z42-$AE42-$AF42-$AG42-$AJ42-$AK42-$AL42-$AM42-$AN42),($Z42-$AE42-$AF42-$AG42-$AJ42-$AK42-$AL42-$AM42-$AN42)*15%/(40%+15%)))))</f>
        <v/>
      </c>
      <c r="AJ42" s="282">
        <f>IF($Z42="",0,$Z42*15%)</f>
        <v/>
      </c>
      <c r="AK42" s="200">
        <f>IF($Z42="",0,IF($R42="",0,$R42))</f>
        <v/>
      </c>
      <c r="AL42" s="200">
        <f>IF(OR($Z42="",$S42=""),0,$Z42*5%)</f>
        <v/>
      </c>
      <c r="AM42" s="200">
        <f>IF(OR($Z42="",$T42=""),0,$Z42*10%)</f>
        <v/>
      </c>
      <c r="AN42" s="200">
        <f>IF($Z42="",0,IF($U42="",0,$U42))</f>
        <v/>
      </c>
    </row>
    <row r="43" ht="18" customHeight="1" s="300">
      <c r="A43" s="84">
        <f>IF(D43="","",A42+1)</f>
        <v/>
      </c>
      <c r="B43" s="70" t="inlineStr">
        <is>
          <t>TO CATEGORIZE YET</t>
        </is>
      </c>
      <c r="C43" s="70" t="inlineStr">
        <is>
          <t>TO CATEGORIZE YET</t>
        </is>
      </c>
      <c r="D43" s="97" t="inlineStr">
        <is>
          <t>Data Accuracy, Connectivity &amp; Equipment Failure
- Data accuracy is a major concern for the client.
- Two primary failure scenarios were identified:
   -- Internet disconnectivity between the site and the cloud.
   -- Site hardware or controller malfunction.
- In internet disconnectivity scenarios, the controller device must accumulate data and transmit it once connectivity is restored.
- No data loss is acceptable when internet connectivity is interrupted.
- If the controller or site equipment is not working, the system must raise an alert.
- The client wants the system to inform users whether a site cannot reconcile because of internet disconnectivity or equipment malfunction.
- If equipment fails and data is not captured, the system must provide manual entry for lost site data.
- Manual entry is considered necessary to maintain 100% data accuracy and complete reconciliation.
- The client requested an admin-level tool for manual data entry when ATG or related equipment is down.
- The discussion referenced a practical case where if ATG is down for two hours, the system should allow offline or manual input.
- Offline input data is therefore a required feature.</t>
        </is>
      </c>
      <c r="E43" s="243" t="n"/>
      <c r="F43" s="86" t="inlineStr">
        <is>
          <t>PGL</t>
        </is>
      </c>
      <c r="G43" s="89" t="n"/>
      <c r="H43" s="70" t="n"/>
      <c r="I43" s="70" t="n"/>
      <c r="J43" s="70" t="n"/>
      <c r="K43" s="70" t="n"/>
      <c r="L43" s="70" t="n"/>
      <c r="M43" s="70" t="n"/>
      <c r="N43" s="70" t="n"/>
      <c r="O43" s="81" t="n">
        <v>3</v>
      </c>
      <c r="P43" s="81" t="n">
        <v>23</v>
      </c>
      <c r="Q43" s="81" t="n">
        <v>5</v>
      </c>
      <c r="R43" s="70" t="n"/>
      <c r="S43" s="70" t="n">
        <v>5</v>
      </c>
      <c r="T43" s="70" t="n"/>
      <c r="U43" s="70" t="n">
        <v>2</v>
      </c>
      <c r="V43" s="78">
        <f>SUM(M43:U43)</f>
        <v/>
      </c>
      <c r="W43" s="39">
        <f>V43 - (V43 * (SUBSTITUTE(SUBSTITUTE($W$2, "Optimistic (", ""), "%)", "") / 100))</f>
        <v/>
      </c>
      <c r="X43" s="39">
        <f>V43 + (V43 * (SUBSTITUTE(SUBSTITUTE($X$2, "Pessimistic (", ""), "%)", "") / 100))</f>
        <v/>
      </c>
      <c r="Y43" s="79">
        <f>(W43+(4*V43)+X43)/6</f>
        <v/>
      </c>
      <c r="Z43" s="169">
        <f>Y43/2</f>
        <v/>
      </c>
      <c r="AA43" s="180" t="n"/>
      <c r="AB43" s="180" t="n"/>
      <c r="AC43" s="180" t="n"/>
      <c r="AD43" s="181" t="n"/>
      <c r="AE43" s="200">
        <f>IF($Z43="",0,IF($M43="",0,$M43))</f>
        <v/>
      </c>
      <c r="AF43" s="200">
        <f>IF(OR($Z43="",$N43=""),0,$Z43*5%)</f>
        <v/>
      </c>
      <c r="AG43" s="200">
        <f>IF(OR($Z43="",$O43=""),0,$Z43*10%)</f>
        <v/>
      </c>
      <c r="AH43" s="200">
        <f>IF($Z43="",0,IF(AND($P43="",$Q43=""),($Z43-$AE43-$AF43-$AG43-$AJ43-$AK43-$AL43-$AM43-$AN43),IF($P43="",0,IF($Q43="",($Z43-$AE43-$AF43-$AG43-$AJ43-$AK43-$AL43-$AM43-$AN43),($Z43-$AE43-$AF43-$AG43-$AJ43-$AK43-$AL43-$AM43-$AN43)*40%/(40%+15%)))))</f>
        <v/>
      </c>
      <c r="AI43" s="200">
        <f>IF($Z43="",0,IF(AND($P43="",$Q43=""),0,IF($Q43="",0,IF($P43="",($Z43-$AE43-$AF43-$AG43-$AJ43-$AK43-$AL43-$AM43-$AN43),($Z43-$AE43-$AF43-$AG43-$AJ43-$AK43-$AL43-$AM43-$AN43)*15%/(40%+15%)))))</f>
        <v/>
      </c>
      <c r="AJ43" s="282">
        <f>IF($Z43="",0,$Z43*15%)</f>
        <v/>
      </c>
      <c r="AK43" s="200">
        <f>IF($Z43="",0,IF($R43="",0,$R43))</f>
        <v/>
      </c>
      <c r="AL43" s="200">
        <f>IF(OR($Z43="",$S43=""),0,$Z43*5%)</f>
        <v/>
      </c>
      <c r="AM43" s="200">
        <f>IF(OR($Z43="",$T43=""),0,$Z43*10%)</f>
        <v/>
      </c>
      <c r="AN43" s="200">
        <f>IF($Z43="",0,IF($U43="",0,$U43))</f>
        <v/>
      </c>
    </row>
    <row r="44" ht="18" customHeight="1" s="300">
      <c r="A44" s="84">
        <f>IF(D44="","",A43+1)</f>
        <v/>
      </c>
      <c r="B44" s="70" t="inlineStr">
        <is>
          <t>TO CATEGORIZE YET</t>
        </is>
      </c>
      <c r="C44" s="70" t="inlineStr">
        <is>
          <t>TO CATEGORIZE YET</t>
        </is>
      </c>
      <c r="D44" s="97" t="inlineStr">
        <is>
          <t>Alerts, Diagnostics &amp; Notifications
- Alerts should not remain isolated in one report; they should connect with diagnostics and related operational reports.
- Email notifications should be available for alerts.
- A diagnostics or connectivity view should show which sites are disconnected.
- Connectivity and equipment-down conditions should raise alerts.
- If a device fails to ping within a configured time period, the system should raise an alert if the controller supports that information.
- The client suggested using controller ping behavior as a simple basis for equipment-down alerting.
- Thresholds for alarms should be configurable.
- A 0.5% threshold was specifically mentioned in the discussion.</t>
        </is>
      </c>
      <c r="E44" s="243" t="n"/>
      <c r="F44" s="86" t="inlineStr">
        <is>
          <t>PGL</t>
        </is>
      </c>
      <c r="G44" s="89" t="n"/>
      <c r="H44" s="70" t="n"/>
      <c r="I44" s="70" t="n"/>
      <c r="J44" s="70" t="n"/>
      <c r="K44" s="70" t="n"/>
      <c r="L44" s="70" t="n"/>
      <c r="M44" s="70" t="n"/>
      <c r="N44" s="70" t="n"/>
      <c r="O44" s="81" t="n">
        <v>1</v>
      </c>
      <c r="P44" s="81" t="n">
        <v>5</v>
      </c>
      <c r="Q44" s="81" t="n">
        <v>3</v>
      </c>
      <c r="R44" s="70" t="n"/>
      <c r="S44" s="70" t="n">
        <v>5</v>
      </c>
      <c r="T44" s="70" t="n"/>
      <c r="U44" s="70" t="n">
        <v>2</v>
      </c>
      <c r="V44" s="78">
        <f>SUM(M44:U44)</f>
        <v/>
      </c>
      <c r="W44" s="39">
        <f>V44 - (V44 * (SUBSTITUTE(SUBSTITUTE($W$2, "Optimistic (", ""), "%)", "") / 100))</f>
        <v/>
      </c>
      <c r="X44" s="39">
        <f>V44 + (V44 * (SUBSTITUTE(SUBSTITUTE($X$2, "Pessimistic (", ""), "%)", "") / 100))</f>
        <v/>
      </c>
      <c r="Y44" s="79">
        <f>(W44+(4*V44)+X44)/6</f>
        <v/>
      </c>
      <c r="Z44" s="169">
        <f>Y44/2</f>
        <v/>
      </c>
      <c r="AA44" s="180" t="n"/>
      <c r="AB44" s="180" t="n"/>
      <c r="AC44" s="180" t="n"/>
      <c r="AD44" s="181" t="n"/>
      <c r="AE44" s="200">
        <f>IF($Z44="",0,IF($M44="",0,$M44))</f>
        <v/>
      </c>
      <c r="AF44" s="200">
        <f>IF(OR($Z44="",$N44=""),0,$Z44*5%)</f>
        <v/>
      </c>
      <c r="AG44" s="200">
        <f>IF(OR($Z44="",$O44=""),0,$Z44*10%)</f>
        <v/>
      </c>
      <c r="AH44" s="200">
        <f>IF($Z44="",0,IF(AND($P44="",$Q44=""),($Z44-$AE44-$AF44-$AG44-$AJ44-$AK44-$AL44-$AM44-$AN44),IF($P44="",0,IF($Q44="",($Z44-$AE44-$AF44-$AG44-$AJ44-$AK44-$AL44-$AM44-$AN44),($Z44-$AE44-$AF44-$AG44-$AJ44-$AK44-$AL44-$AM44-$AN44)*40%/(40%+15%)))))</f>
        <v/>
      </c>
      <c r="AI44" s="200">
        <f>IF($Z44="",0,IF(AND($P44="",$Q44=""),0,IF($Q44="",0,IF($P44="",($Z44-$AE44-$AF44-$AG44-$AJ44-$AK44-$AL44-$AM44-$AN44),($Z44-$AE44-$AF44-$AG44-$AJ44-$AK44-$AL44-$AM44-$AN44)*15%/(40%+15%)))))</f>
        <v/>
      </c>
      <c r="AJ44" s="282">
        <f>IF($Z44="",0,$Z44*15%)</f>
        <v/>
      </c>
      <c r="AK44" s="200">
        <f>IF($Z44="",0,IF($R44="",0,$R44))</f>
        <v/>
      </c>
      <c r="AL44" s="200">
        <f>IF(OR($Z44="",$S44=""),0,$Z44*5%)</f>
        <v/>
      </c>
      <c r="AM44" s="200">
        <f>IF(OR($Z44="",$T44=""),0,$Z44*10%)</f>
        <v/>
      </c>
      <c r="AN44" s="200">
        <f>IF($Z44="",0,IF($U44="",0,$U44))</f>
        <v/>
      </c>
    </row>
    <row r="45" ht="18" customHeight="1" s="300">
      <c r="A45" s="84">
        <f>IF(D45="","",A44+1)</f>
        <v/>
      </c>
      <c r="B45" s="70" t="inlineStr">
        <is>
          <t>TO CATEGORIZE YET</t>
        </is>
      </c>
      <c r="C45" s="70" t="inlineStr">
        <is>
          <t>TO CATEGORIZE YET</t>
        </is>
      </c>
      <c r="D45" s="97" t="inlineStr">
        <is>
          <t>Reporting, Terminology &amp; Units
- Nozzle-level sales are not clear to the client, partly because of the nomenclature used in the nozzle report.
- The transaction report does not clearly mention the unit of measure.
- The client wants units such as liters or currency to be visible consistently across the application.
- Report terminology and naming should be reviewed so reports are easier for the business to understand.
- The client asked the team to review nomenclature used in summarized and detailed reports.</t>
        </is>
      </c>
      <c r="E45" s="243" t="n"/>
      <c r="F45" s="86" t="inlineStr">
        <is>
          <t>PGL</t>
        </is>
      </c>
      <c r="G45" s="89" t="n"/>
      <c r="H45" s="70" t="n"/>
      <c r="I45" s="70" t="n"/>
      <c r="J45" s="70" t="n"/>
      <c r="K45" s="70" t="n"/>
      <c r="L45" s="70" t="n"/>
      <c r="M45" s="70" t="n"/>
      <c r="N45" s="70" t="n"/>
      <c r="O45" s="81" t="n">
        <v>0</v>
      </c>
      <c r="P45" s="81" t="n">
        <v>2</v>
      </c>
      <c r="Q45" s="81" t="n">
        <v>1</v>
      </c>
      <c r="R45" s="70" t="n"/>
      <c r="S45" s="70" t="n">
        <v>5</v>
      </c>
      <c r="T45" s="70" t="n"/>
      <c r="U45" s="70" t="n">
        <v>2</v>
      </c>
      <c r="V45" s="78">
        <f>SUM(M45:U45)</f>
        <v/>
      </c>
      <c r="W45" s="39">
        <f>V45 - (V45 * (SUBSTITUTE(SUBSTITUTE($W$2, "Optimistic (", ""), "%)", "") / 100))</f>
        <v/>
      </c>
      <c r="X45" s="39">
        <f>V45 + (V45 * (SUBSTITUTE(SUBSTITUTE($X$2, "Pessimistic (", ""), "%)", "") / 100))</f>
        <v/>
      </c>
      <c r="Y45" s="79">
        <f>(W45+(4*V45)+X45)/6</f>
        <v/>
      </c>
      <c r="Z45" s="169">
        <f>Y45/2</f>
        <v/>
      </c>
      <c r="AA45" s="180" t="n"/>
      <c r="AB45" s="180" t="n"/>
      <c r="AC45" s="180" t="n"/>
      <c r="AD45" s="181" t="n"/>
      <c r="AE45" s="200">
        <f>IF($Z45="",0,IF($M45="",0,$M45))</f>
        <v/>
      </c>
      <c r="AF45" s="200">
        <f>IF(OR($Z45="",$N45=""),0,$Z45*5%)</f>
        <v/>
      </c>
      <c r="AG45" s="200">
        <f>IF(OR($Z45="",$O45=""),0,$Z45*10%)</f>
        <v/>
      </c>
      <c r="AH45" s="200">
        <f>IF($Z45="",0,IF(AND($P45="",$Q45=""),($Z45-$AE45-$AF45-$AG45-$AJ45-$AK45-$AL45-$AM45-$AN45),IF($P45="",0,IF($Q45="",($Z45-$AE45-$AF45-$AG45-$AJ45-$AK45-$AL45-$AM45-$AN45),($Z45-$AE45-$AF45-$AG45-$AJ45-$AK45-$AL45-$AM45-$AN45)*40%/(40%+15%)))))</f>
        <v/>
      </c>
      <c r="AI45" s="200">
        <f>IF($Z45="",0,IF(AND($P45="",$Q45=""),0,IF($Q45="",0,IF($P45="",($Z45-$AE45-$AF45-$AG45-$AJ45-$AK45-$AL45-$AM45-$AN45),($Z45-$AE45-$AF45-$AG45-$AJ45-$AK45-$AL45-$AM45-$AN45)*15%/(40%+15%)))))</f>
        <v/>
      </c>
      <c r="AJ45" s="282">
        <f>IF($Z45="",0,$Z45*15%)</f>
        <v/>
      </c>
      <c r="AK45" s="200">
        <f>IF($Z45="",0,IF($R45="",0,$R45))</f>
        <v/>
      </c>
      <c r="AL45" s="200">
        <f>IF(OR($Z45="",$S45=""),0,$Z45*5%)</f>
        <v/>
      </c>
      <c r="AM45" s="200">
        <f>IF(OR($Z45="",$T45=""),0,$Z45*10%)</f>
        <v/>
      </c>
      <c r="AN45" s="200">
        <f>IF($Z45="",0,IF($U45="",0,$U45))</f>
        <v/>
      </c>
    </row>
    <row r="46" ht="18" customHeight="1" s="300">
      <c r="A46" s="84">
        <f>IF(D46="","",A45+1)</f>
        <v/>
      </c>
      <c r="B46" s="70" t="inlineStr">
        <is>
          <t>TO CATEGORIZE YET</t>
        </is>
      </c>
      <c r="C46" s="70" t="inlineStr">
        <is>
          <t>TO CATEGORIZE YET</t>
        </is>
      </c>
      <c r="D46" s="97" t="inlineStr">
        <is>
          <t>Loss/Gain Analytics &amp; Tank Illustration
- The client asked for tank-wise visibility in addition to product-wise views.
- The discussion clarified that this requirement is already fulfilled through the Stock Levels report.
- The gap identified was client awareness and product discoverability, not missing functionality.
- Tank illustration is also required.</t>
        </is>
      </c>
      <c r="E46" s="243" t="n"/>
      <c r="F46" s="86" t="inlineStr">
        <is>
          <t>PGL</t>
        </is>
      </c>
      <c r="G46" s="89" t="n"/>
      <c r="H46" s="70" t="n"/>
      <c r="I46" s="70" t="n"/>
      <c r="J46" s="70" t="n"/>
      <c r="K46" s="70" t="n"/>
      <c r="L46" s="70" t="n"/>
      <c r="M46" s="70" t="n"/>
      <c r="N46" s="70" t="n"/>
      <c r="O46" s="81" t="n">
        <v>0</v>
      </c>
      <c r="P46" s="81" t="n">
        <v>1</v>
      </c>
      <c r="Q46" s="81" t="n">
        <v>2</v>
      </c>
      <c r="R46" s="70" t="n"/>
      <c r="S46" s="70" t="n">
        <v>5</v>
      </c>
      <c r="T46" s="70" t="n"/>
      <c r="U46" s="70" t="n">
        <v>2</v>
      </c>
      <c r="V46" s="78">
        <f>SUM(M46:U46)</f>
        <v/>
      </c>
      <c r="W46" s="39">
        <f>V46 - (V46 * (SUBSTITUTE(SUBSTITUTE($W$2, "Optimistic (", ""), "%)", "") / 100))</f>
        <v/>
      </c>
      <c r="X46" s="39">
        <f>V46 + (V46 * (SUBSTITUTE(SUBSTITUTE($X$2, "Pessimistic (", ""), "%)", "") / 100))</f>
        <v/>
      </c>
      <c r="Y46" s="79">
        <f>(W46+(4*V46)+X46)/6</f>
        <v/>
      </c>
      <c r="Z46" s="169">
        <f>Y46/2</f>
        <v/>
      </c>
      <c r="AA46" s="180" t="n"/>
      <c r="AB46" s="180" t="n"/>
      <c r="AC46" s="180" t="n"/>
      <c r="AD46" s="181" t="n"/>
      <c r="AE46" s="200">
        <f>IF($Z46="",0,IF($M46="",0,$M46))</f>
        <v/>
      </c>
      <c r="AF46" s="200">
        <f>IF(OR($Z46="",$N46=""),0,$Z46*5%)</f>
        <v/>
      </c>
      <c r="AG46" s="200">
        <f>IF(OR($Z46="",$O46=""),0,$Z46*10%)</f>
        <v/>
      </c>
      <c r="AH46" s="200">
        <f>IF($Z46="",0,IF(AND($P46="",$Q46=""),($Z46-$AE46-$AF46-$AG46-$AJ46-$AK46-$AL46-$AM46-$AN46),IF($P46="",0,IF($Q46="",($Z46-$AE46-$AF46-$AG46-$AJ46-$AK46-$AL46-$AM46-$AN46),($Z46-$AE46-$AF46-$AG46-$AJ46-$AK46-$AL46-$AM46-$AN46)*40%/(40%+15%)))))</f>
        <v/>
      </c>
      <c r="AI46" s="200">
        <f>IF($Z46="",0,IF(AND($P46="",$Q46=""),0,IF($Q46="",0,IF($P46="",($Z46-$AE46-$AF46-$AG46-$AJ46-$AK46-$AL46-$AM46-$AN46),($Z46-$AE46-$AF46-$AG46-$AJ46-$AK46-$AL46-$AM46-$AN46)*15%/(40%+15%)))))</f>
        <v/>
      </c>
      <c r="AJ46" s="282">
        <f>IF($Z46="",0,$Z46*15%)</f>
        <v/>
      </c>
      <c r="AK46" s="200">
        <f>IF($Z46="",0,IF($R46="",0,$R46))</f>
        <v/>
      </c>
      <c r="AL46" s="200">
        <f>IF(OR($Z46="",$S46=""),0,$Z46*5%)</f>
        <v/>
      </c>
      <c r="AM46" s="200">
        <f>IF(OR($Z46="",$T46=""),0,$Z46*10%)</f>
        <v/>
      </c>
      <c r="AN46" s="200">
        <f>IF($Z46="",0,IF($U46="",0,$U46))</f>
        <v/>
      </c>
    </row>
    <row r="47" ht="18" customHeight="1" s="300">
      <c r="A47" s="84">
        <f>IF(D47="","",A46+1)</f>
        <v/>
      </c>
      <c r="B47" s="70" t="inlineStr">
        <is>
          <t>TO CATEGORIZE YET</t>
        </is>
      </c>
      <c r="C47" s="70" t="inlineStr">
        <is>
          <t>TO CATEGORIZE YET</t>
        </is>
      </c>
      <c r="D47" s="97" t="inlineStr">
        <is>
          <t>Sales Targets &amp; Organizational Hierarchy
- Sales targets are maintained at multiple levels, including yearly, quarterly, monthly, and weekly.
- The client does not use daily targets as a primary planning level.
- Weekly contribution to yearly targets is important.
- Targets are established globally for fuel and are often maintained in Excel at area and station level.
- The client wants an Excel upload feature so sales targets can be populated in bulk.
- A sample Excel file is to be shared by the client after checking with the sales team.
- The client also wants targets and sites linked to territory managers and other organizational roles.
- The current page can partially support target assignment but does not fully reflect the organizational hierarchy such as region-wise or territory-manager-wise structures.
- Further alignment with the sales team is needed to define how targets should be modeled in Fintech Fuel and to set expectations.</t>
        </is>
      </c>
      <c r="E47" s="243" t="n"/>
      <c r="F47" s="86" t="inlineStr">
        <is>
          <t>PGL</t>
        </is>
      </c>
      <c r="G47" s="89" t="n"/>
      <c r="H47" s="70" t="n"/>
      <c r="I47" s="70" t="n"/>
      <c r="J47" s="70" t="n"/>
      <c r="K47" s="70" t="n"/>
      <c r="L47" s="70" t="n"/>
      <c r="M47" s="70" t="n"/>
      <c r="N47" s="70" t="n"/>
      <c r="O47" s="81" t="n">
        <v>3</v>
      </c>
      <c r="P47" s="81" t="n">
        <v>15</v>
      </c>
      <c r="Q47" s="81" t="n">
        <v>5</v>
      </c>
      <c r="R47" s="70" t="n"/>
      <c r="S47" s="70" t="n">
        <v>5</v>
      </c>
      <c r="T47" s="70" t="n"/>
      <c r="U47" s="70" t="n">
        <v>2</v>
      </c>
      <c r="V47" s="78">
        <f>SUM(M47:U47)</f>
        <v/>
      </c>
      <c r="W47" s="39">
        <f>V47 - (V47 * (SUBSTITUTE(SUBSTITUTE($W$2, "Optimistic (", ""), "%)", "") / 100))</f>
        <v/>
      </c>
      <c r="X47" s="39">
        <f>V47 + (V47 * (SUBSTITUTE(SUBSTITUTE($X$2, "Pessimistic (", ""), "%)", "") / 100))</f>
        <v/>
      </c>
      <c r="Y47" s="79">
        <f>(W47+(4*V47)+X47)/6</f>
        <v/>
      </c>
      <c r="Z47" s="169">
        <f>Y47/2</f>
        <v/>
      </c>
      <c r="AA47" s="180" t="n"/>
      <c r="AB47" s="180" t="n"/>
      <c r="AC47" s="180" t="n"/>
      <c r="AD47" s="181" t="n"/>
      <c r="AE47" s="200">
        <f>IF($Z47="",0,IF($M47="",0,$M47))</f>
        <v/>
      </c>
      <c r="AF47" s="200">
        <f>IF(OR($Z47="",$N47=""),0,$Z47*5%)</f>
        <v/>
      </c>
      <c r="AG47" s="200">
        <f>IF(OR($Z47="",$O47=""),0,$Z47*10%)</f>
        <v/>
      </c>
      <c r="AH47" s="200">
        <f>IF($Z47="",0,IF(AND($P47="",$Q47=""),($Z47-$AE47-$AF47-$AG47-$AJ47-$AK47-$AL47-$AM47-$AN47),IF($P47="",0,IF($Q47="",($Z47-$AE47-$AF47-$AG47-$AJ47-$AK47-$AL47-$AM47-$AN47),($Z47-$AE47-$AF47-$AG47-$AJ47-$AK47-$AL47-$AM47-$AN47)*40%/(40%+15%)))))</f>
        <v/>
      </c>
      <c r="AI47" s="200">
        <f>IF($Z47="",0,IF(AND($P47="",$Q47=""),0,IF($Q47="",0,IF($P47="",($Z47-$AE47-$AF47-$AG47-$AJ47-$AK47-$AL47-$AM47-$AN47),($Z47-$AE47-$AF47-$AG47-$AJ47-$AK47-$AL47-$AM47-$AN47)*15%/(40%+15%)))))</f>
        <v/>
      </c>
      <c r="AJ47" s="282">
        <f>IF($Z47="",0,$Z47*15%)</f>
        <v/>
      </c>
      <c r="AK47" s="200">
        <f>IF($Z47="",0,IF($R47="",0,$R47))</f>
        <v/>
      </c>
      <c r="AL47" s="200">
        <f>IF(OR($Z47="",$S47=""),0,$Z47*5%)</f>
        <v/>
      </c>
      <c r="AM47" s="200">
        <f>IF(OR($Z47="",$T47=""),0,$Z47*10%)</f>
        <v/>
      </c>
      <c r="AN47" s="200">
        <f>IF($Z47="",0,IF($U47="",0,$U47))</f>
        <v/>
      </c>
    </row>
    <row r="48" ht="18" customHeight="1" s="300">
      <c r="A48" s="84">
        <f>IF(D48="","",A47+1)</f>
        <v/>
      </c>
      <c r="B48" s="70" t="inlineStr">
        <is>
          <t>TO CATEGORIZE YET</t>
        </is>
      </c>
      <c r="C48" s="70" t="inlineStr">
        <is>
          <t>TO CATEGORIZE YET</t>
        </is>
      </c>
      <c r="D48" s="97" t="inlineStr">
        <is>
          <t>Date Range &amp; Time Handling
- The client objected to 8 AM to 8 PM reconciliation windows from a UX perspective.
- Date filtering should behave as full-day selection:
- Single day selection should mean 00:00 to 23:59.
- Multi-day selection should mean from the start of the first day to the end of the last day.
- Site-level time window configuration exists, but implementation would require client approval.
- A possible tolerance buffer of 5% to 10% was discussed to account for timing-related variances such as transactions crossing midnight.
- The team agreed that the transaction end time is the correct timestamp to use for calculations.</t>
        </is>
      </c>
      <c r="E48" s="243" t="n"/>
      <c r="F48" s="86" t="inlineStr">
        <is>
          <t>PGL</t>
        </is>
      </c>
      <c r="G48" s="89" t="n"/>
      <c r="H48" s="70" t="n"/>
      <c r="I48" s="70" t="n"/>
      <c r="J48" s="70" t="n"/>
      <c r="K48" s="70" t="n"/>
      <c r="L48" s="70" t="n"/>
      <c r="M48" s="70" t="n"/>
      <c r="N48" s="70" t="n"/>
      <c r="O48" s="81" t="n">
        <v>0</v>
      </c>
      <c r="P48" s="81" t="n">
        <v>3</v>
      </c>
      <c r="Q48" s="81" t="n">
        <v>3</v>
      </c>
      <c r="R48" s="70" t="n"/>
      <c r="S48" s="70" t="n">
        <v>5</v>
      </c>
      <c r="T48" s="70" t="n"/>
      <c r="U48" s="70" t="n">
        <v>2</v>
      </c>
      <c r="V48" s="78">
        <f>SUM(M48:U48)</f>
        <v/>
      </c>
      <c r="W48" s="39">
        <f>V48 - (V48 * (SUBSTITUTE(SUBSTITUTE($W$2, "Optimistic (", ""), "%)", "") / 100))</f>
        <v/>
      </c>
      <c r="X48" s="39">
        <f>V48 + (V48 * (SUBSTITUTE(SUBSTITUTE($X$2, "Pessimistic (", ""), "%)", "") / 100))</f>
        <v/>
      </c>
      <c r="Y48" s="79">
        <f>(W48+(4*V48)+X48)/6</f>
        <v/>
      </c>
      <c r="Z48" s="169">
        <f>Y48/2</f>
        <v/>
      </c>
      <c r="AA48" s="180" t="n"/>
      <c r="AB48" s="180" t="n"/>
      <c r="AC48" s="180" t="n"/>
      <c r="AD48" s="181" t="n"/>
      <c r="AE48" s="200">
        <f>IF($Z48="",0,IF($M48="",0,$M48))</f>
        <v/>
      </c>
      <c r="AF48" s="200">
        <f>IF(OR($Z48="",$N48=""),0,$Z48*5%)</f>
        <v/>
      </c>
      <c r="AG48" s="200">
        <f>IF(OR($Z48="",$O48=""),0,$Z48*10%)</f>
        <v/>
      </c>
      <c r="AH48" s="200">
        <f>IF($Z48="",0,IF(AND($P48="",$Q48=""),($Z48-$AE48-$AF48-$AG48-$AJ48-$AK48-$AL48-$AM48-$AN48),IF($P48="",0,IF($Q48="",($Z48-$AE48-$AF48-$AG48-$AJ48-$AK48-$AL48-$AM48-$AN48),($Z48-$AE48-$AF48-$AG48-$AJ48-$AK48-$AL48-$AM48-$AN48)*40%/(40%+15%)))))</f>
        <v/>
      </c>
      <c r="AI48" s="200">
        <f>IF($Z48="",0,IF(AND($P48="",$Q48=""),0,IF($Q48="",0,IF($P48="",($Z48-$AE48-$AF48-$AG48-$AJ48-$AK48-$AL48-$AM48-$AN48),($Z48-$AE48-$AF48-$AG48-$AJ48-$AK48-$AL48-$AM48-$AN48)*15%/(40%+15%)))))</f>
        <v/>
      </c>
      <c r="AJ48" s="282">
        <f>IF($Z48="",0,$Z48*15%)</f>
        <v/>
      </c>
      <c r="AK48" s="200">
        <f>IF($Z48="",0,IF($R48="",0,$R48))</f>
        <v/>
      </c>
      <c r="AL48" s="200">
        <f>IF(OR($Z48="",$S48=""),0,$Z48*5%)</f>
        <v/>
      </c>
      <c r="AM48" s="200">
        <f>IF(OR($Z48="",$T48=""),0,$Z48*10%)</f>
        <v/>
      </c>
      <c r="AN48" s="200">
        <f>IF($Z48="",0,IF($U48="",0,$U48))</f>
        <v/>
      </c>
    </row>
    <row r="49" ht="18" customHeight="1" s="300">
      <c r="A49" s="84">
        <f>IF(D49="","",A48+1)</f>
        <v/>
      </c>
      <c r="B49" s="70" t="inlineStr">
        <is>
          <t>TO CATEGORIZE YET</t>
        </is>
      </c>
      <c r="C49" s="70" t="inlineStr">
        <is>
          <t>TO CATEGORIZE YET</t>
        </is>
      </c>
      <c r="D49" s="97" t="inlineStr">
        <is>
          <t>Price Monitoring &amp; Control
- The client wants head-office price communication to each dispenser.
- This feature has been built for ALSONs and is in progress for the DOVER Fusion Controller.
- If a site changes the selling price from the approved head-office price, Fintech Fuel should raise an alert.
- The client gave an example where a site selling at a higher price than the approved price must be flagged.
- The client expects exact price matching and does not want a tolerance-based comparison here.
- If no transaction has occurred, the current logic may not receive PPU data; this limitation needs a workaround.
- Price comparison and price history should be visible in the application.
- Price change alerting should not depend only on transactions because the damage may already be done by then.
- The team needs to confirm whether the FC controller communicates price changes directly.</t>
        </is>
      </c>
      <c r="E49" s="243" t="n"/>
      <c r="F49" s="86" t="inlineStr">
        <is>
          <t>PGL</t>
        </is>
      </c>
      <c r="G49" s="89" t="n"/>
      <c r="H49" s="70" t="n"/>
      <c r="I49" s="70" t="n"/>
      <c r="J49" s="70" t="n"/>
      <c r="K49" s="70" t="n"/>
      <c r="L49" s="70" t="n"/>
      <c r="M49" s="70" t="n"/>
      <c r="N49" s="70" t="n"/>
      <c r="O49" s="81" t="n">
        <v>5</v>
      </c>
      <c r="P49" s="81" t="n">
        <v>15</v>
      </c>
      <c r="Q49" s="81" t="n">
        <v>8</v>
      </c>
      <c r="R49" s="70" t="n"/>
      <c r="S49" s="70" t="n">
        <v>5</v>
      </c>
      <c r="T49" s="70" t="n"/>
      <c r="U49" s="70" t="n">
        <v>2</v>
      </c>
      <c r="V49" s="78">
        <f>SUM(M49:U49)</f>
        <v/>
      </c>
      <c r="W49" s="39">
        <f>V49 - (V49 * (SUBSTITUTE(SUBSTITUTE($W$2, "Optimistic (", ""), "%)", "") / 100))</f>
        <v/>
      </c>
      <c r="X49" s="39">
        <f>V49 + (V49 * (SUBSTITUTE(SUBSTITUTE($X$2, "Pessimistic (", ""), "%)", "") / 100))</f>
        <v/>
      </c>
      <c r="Y49" s="79">
        <f>(W49+(4*V49)+X49)/6</f>
        <v/>
      </c>
      <c r="Z49" s="169">
        <f>Y49/2</f>
        <v/>
      </c>
      <c r="AA49" s="180" t="n"/>
      <c r="AB49" s="180" t="n"/>
      <c r="AC49" s="180" t="n"/>
      <c r="AD49" s="181" t="n"/>
      <c r="AE49" s="200">
        <f>IF($Z49="",0,IF($M49="",0,$M49))</f>
        <v/>
      </c>
      <c r="AF49" s="200">
        <f>IF(OR($Z49="",$N49=""),0,$Z49*5%)</f>
        <v/>
      </c>
      <c r="AG49" s="200">
        <f>IF(OR($Z49="",$O49=""),0,$Z49*10%)</f>
        <v/>
      </c>
      <c r="AH49" s="200">
        <f>IF($Z49="",0,IF(AND($P49="",$Q49=""),($Z49-$AE49-$AF49-$AG49-$AJ49-$AK49-$AL49-$AM49-$AN49),IF($P49="",0,IF($Q49="",($Z49-$AE49-$AF49-$AG49-$AJ49-$AK49-$AL49-$AM49-$AN49),($Z49-$AE49-$AF49-$AG49-$AJ49-$AK49-$AL49-$AM49-$AN49)*40%/(40%+15%)))))</f>
        <v/>
      </c>
      <c r="AI49" s="200">
        <f>IF($Z49="",0,IF(AND($P49="",$Q49=""),0,IF($Q49="",0,IF($P49="",($Z49-$AE49-$AF49-$AG49-$AJ49-$AK49-$AL49-$AM49-$AN49),($Z49-$AE49-$AF49-$AG49-$AJ49-$AK49-$AL49-$AM49-$AN49)*15%/(40%+15%)))))</f>
        <v/>
      </c>
      <c r="AJ49" s="282">
        <f>IF($Z49="",0,$Z49*15%)</f>
        <v/>
      </c>
      <c r="AK49" s="200">
        <f>IF($Z49="",0,IF($R49="",0,$R49))</f>
        <v/>
      </c>
      <c r="AL49" s="200">
        <f>IF(OR($Z49="",$S49=""),0,$Z49*5%)</f>
        <v/>
      </c>
      <c r="AM49" s="200">
        <f>IF(OR($Z49="",$T49=""),0,$Z49*10%)</f>
        <v/>
      </c>
      <c r="AN49" s="200">
        <f>IF($Z49="",0,IF($U49="",0,$U49))</f>
        <v/>
      </c>
    </row>
    <row r="50" ht="18" customHeight="1" s="300">
      <c r="A50" s="84">
        <f>IF(D50="","",A49+1)</f>
        <v/>
      </c>
      <c r="B50" s="70" t="inlineStr">
        <is>
          <t>TO CATEGORIZE YET</t>
        </is>
      </c>
      <c r="C50" s="70" t="inlineStr">
        <is>
          <t>TO CATEGORIZE YET</t>
        </is>
      </c>
      <c r="D50" s="97" t="inlineStr">
        <is>
          <t>Role-Based Access
- Ground staff should have read-only access.
- Head-office staff should have edit and configuration control.
- Manual entry and sensitive corrections should follow user-role restrictions.
- The client requested user management roles and an approval system through hierarchy for manual data entry and related control workflows.</t>
        </is>
      </c>
      <c r="E50" s="243" t="n"/>
      <c r="F50" s="86" t="inlineStr">
        <is>
          <t>PGL</t>
        </is>
      </c>
      <c r="G50" s="89" t="n"/>
      <c r="H50" s="70" t="n"/>
      <c r="I50" s="70" t="n"/>
      <c r="J50" s="70" t="n"/>
      <c r="K50" s="70" t="n"/>
      <c r="L50" s="70" t="n"/>
      <c r="M50" s="70" t="n"/>
      <c r="N50" s="70" t="n"/>
      <c r="O50" s="81" t="n">
        <v>0</v>
      </c>
      <c r="P50" s="81" t="n">
        <v>6</v>
      </c>
      <c r="Q50" s="81" t="n">
        <v>4</v>
      </c>
      <c r="R50" s="70" t="n"/>
      <c r="S50" s="70" t="n">
        <v>5</v>
      </c>
      <c r="T50" s="70" t="n"/>
      <c r="U50" s="70" t="n">
        <v>2</v>
      </c>
      <c r="V50" s="78">
        <f>SUM(M50:U50)</f>
        <v/>
      </c>
      <c r="W50" s="39">
        <f>V50 - (V50 * (SUBSTITUTE(SUBSTITUTE($W$2, "Optimistic (", ""), "%)", "") / 100))</f>
        <v/>
      </c>
      <c r="X50" s="39">
        <f>V50 + (V50 * (SUBSTITUTE(SUBSTITUTE($X$2, "Pessimistic (", ""), "%)", "") / 100))</f>
        <v/>
      </c>
      <c r="Y50" s="79">
        <f>(W50+(4*V50)+X50)/6</f>
        <v/>
      </c>
      <c r="Z50" s="169">
        <f>Y50/2</f>
        <v/>
      </c>
      <c r="AA50" s="180" t="n"/>
      <c r="AB50" s="180" t="n"/>
      <c r="AC50" s="180" t="n"/>
      <c r="AD50" s="181" t="n"/>
      <c r="AE50" s="200">
        <f>IF($Z50="",0,IF($M50="",0,$M50))</f>
        <v/>
      </c>
      <c r="AF50" s="200">
        <f>IF(OR($Z50="",$N50=""),0,$Z50*5%)</f>
        <v/>
      </c>
      <c r="AG50" s="200">
        <f>IF(OR($Z50="",$O50=""),0,$Z50*10%)</f>
        <v/>
      </c>
      <c r="AH50" s="200">
        <f>IF($Z50="",0,IF(AND($P50="",$Q50=""),($Z50-$AE50-$AF50-$AG50-$AJ50-$AK50-$AL50-$AM50-$AN50),IF($P50="",0,IF($Q50="",($Z50-$AE50-$AF50-$AG50-$AJ50-$AK50-$AL50-$AM50-$AN50),($Z50-$AE50-$AF50-$AG50-$AJ50-$AK50-$AL50-$AM50-$AN50)*40%/(40%+15%)))))</f>
        <v/>
      </c>
      <c r="AI50" s="200">
        <f>IF($Z50="",0,IF(AND($P50="",$Q50=""),0,IF($Q50="",0,IF($P50="",($Z50-$AE50-$AF50-$AG50-$AJ50-$AK50-$AL50-$AM50-$AN50),($Z50-$AE50-$AF50-$AG50-$AJ50-$AK50-$AL50-$AM50-$AN50)*15%/(40%+15%)))))</f>
        <v/>
      </c>
      <c r="AJ50" s="282">
        <f>IF($Z50="",0,$Z50*15%)</f>
        <v/>
      </c>
      <c r="AK50" s="200">
        <f>IF($Z50="",0,IF($R50="",0,$R50))</f>
        <v/>
      </c>
      <c r="AL50" s="200">
        <f>IF(OR($Z50="",$S50=""),0,$Z50*5%)</f>
        <v/>
      </c>
      <c r="AM50" s="200">
        <f>IF(OR($Z50="",$T50=""),0,$Z50*10%)</f>
        <v/>
      </c>
      <c r="AN50" s="200">
        <f>IF($Z50="",0,IF($U50="",0,$U50))</f>
        <v/>
      </c>
    </row>
    <row r="51" ht="18" customHeight="1" s="300">
      <c r="A51" s="84">
        <f>IF(D51="","",A50+1)</f>
        <v/>
      </c>
      <c r="B51" s="70" t="inlineStr">
        <is>
          <t>TO CATEGORIZE YET</t>
        </is>
      </c>
      <c r="C51" s="70" t="inlineStr">
        <is>
          <t>TO CATEGORIZE YET</t>
        </is>
      </c>
      <c r="D51" s="103" t="inlineStr">
        <is>
          <t>Leak &amp; Theft Alerts</t>
        </is>
      </c>
      <c r="E51" s="244" t="n"/>
      <c r="F51" s="86" t="inlineStr">
        <is>
          <t>PGL</t>
        </is>
      </c>
      <c r="G51" s="89" t="n"/>
      <c r="H51" s="70" t="n"/>
      <c r="I51" s="70" t="n"/>
      <c r="J51" s="70" t="n"/>
      <c r="K51" s="70" t="n"/>
      <c r="L51" s="70" t="n"/>
      <c r="M51" s="70" t="n"/>
      <c r="N51" s="70" t="n"/>
      <c r="O51" s="81" t="inlineStr">
        <is>
          <t xml:space="preserve"> </t>
        </is>
      </c>
      <c r="P51" s="81" t="inlineStr">
        <is>
          <t xml:space="preserve"> </t>
        </is>
      </c>
      <c r="Q51" s="81" t="inlineStr">
        <is>
          <t xml:space="preserve"> </t>
        </is>
      </c>
      <c r="R51" s="70" t="n"/>
      <c r="S51" s="70" t="n">
        <v>5</v>
      </c>
      <c r="T51" s="70" t="n"/>
      <c r="U51" s="70" t="n">
        <v>2</v>
      </c>
      <c r="V51" s="78">
        <f>SUM(M51:U51)</f>
        <v/>
      </c>
      <c r="W51" s="39">
        <f>V51 - (V51 * (SUBSTITUTE(SUBSTITUTE($W$2, "Optimistic (", ""), "%)", "") / 100))</f>
        <v/>
      </c>
      <c r="X51" s="39">
        <f>V51 + (V51 * (SUBSTITUTE(SUBSTITUTE($X$2, "Pessimistic (", ""), "%)", "") / 100))</f>
        <v/>
      </c>
      <c r="Y51" s="79">
        <f>(W51+(4*V51)+X51)/6</f>
        <v/>
      </c>
      <c r="Z51" s="169">
        <f>Y51/2</f>
        <v/>
      </c>
      <c r="AA51" s="180" t="n"/>
      <c r="AB51" s="180" t="n"/>
      <c r="AC51" s="180" t="n"/>
      <c r="AD51" s="181" t="n"/>
      <c r="AE51" s="200">
        <f>IF($Z51="",0,IF($M51="",0,$M51))</f>
        <v/>
      </c>
      <c r="AF51" s="200">
        <f>IF(OR($Z51="",$N51=""),0,$Z51*5%)</f>
        <v/>
      </c>
      <c r="AG51" s="200">
        <f>IF(OR($Z51="",$O51=""),0,$Z51*10%)</f>
        <v/>
      </c>
      <c r="AH51" s="200">
        <f>IF($Z51="",0,IF(AND($P51="",$Q51=""),($Z51-$AE51-$AF51-$AG51-$AJ51-$AK51-$AL51-$AM51-$AN51),IF($P51="",0,IF($Q51="",($Z51-$AE51-$AF51-$AG51-$AJ51-$AK51-$AL51-$AM51-$AN51),($Z51-$AE51-$AF51-$AG51-$AJ51-$AK51-$AL51-$AM51-$AN51)*40%/(40%+15%)))))</f>
        <v/>
      </c>
      <c r="AI51" s="200">
        <f>IF($Z51="",0,IF(AND($P51="",$Q51=""),0,IF($Q51="",0,IF($P51="",($Z51-$AE51-$AF51-$AG51-$AJ51-$AK51-$AL51-$AM51-$AN51),($Z51-$AE51-$AF51-$AG51-$AJ51-$AK51-$AL51-$AM51-$AN51)*15%/(40%+15%)))))</f>
        <v/>
      </c>
      <c r="AJ51" s="282">
        <f>IF($Z51="",0,$Z51*15%)</f>
        <v/>
      </c>
      <c r="AK51" s="200">
        <f>IF($Z51="",0,IF($R51="",0,$R51))</f>
        <v/>
      </c>
      <c r="AL51" s="200">
        <f>IF(OR($Z51="",$S51=""),0,$Z51*5%)</f>
        <v/>
      </c>
      <c r="AM51" s="200">
        <f>IF(OR($Z51="",$T51=""),0,$Z51*10%)</f>
        <v/>
      </c>
      <c r="AN51" s="200">
        <f>IF($Z51="",0,IF($U51="",0,$U51))</f>
        <v/>
      </c>
    </row>
    <row r="52" hidden="1" ht="18" customHeight="1" s="300">
      <c r="A52" s="84">
        <f>IF(D52="","",A51+1)</f>
        <v/>
      </c>
      <c r="B52" s="70" t="inlineStr">
        <is>
          <t>TO CATEGORIZE YET</t>
        </is>
      </c>
      <c r="C52" s="70" t="inlineStr">
        <is>
          <t>TO CATEGORIZE YET</t>
        </is>
      </c>
      <c r="D52" s="97" t="inlineStr">
        <is>
          <t>Sample test for litre quantity from dispenser and then pouring back to tank or detained (discarded)</t>
        </is>
      </c>
      <c r="E52" s="243" t="n"/>
      <c r="F52" s="86" t="inlineStr">
        <is>
          <t>To compliance with OGRA</t>
        </is>
      </c>
      <c r="G52" s="89" t="n"/>
      <c r="H52" s="70" t="n"/>
      <c r="I52" s="70" t="n"/>
      <c r="J52" s="70" t="n"/>
      <c r="K52" s="70" t="n"/>
      <c r="L52" s="70" t="n"/>
      <c r="M52" s="70" t="n"/>
      <c r="N52" s="70" t="n"/>
      <c r="O52" s="81" t="n">
        <v>0</v>
      </c>
      <c r="P52" s="81" t="n">
        <v>3</v>
      </c>
      <c r="Q52" s="81" t="n">
        <v>1</v>
      </c>
      <c r="R52" s="70" t="n"/>
      <c r="S52" s="70" t="n">
        <v>5</v>
      </c>
      <c r="T52" s="70" t="n"/>
      <c r="U52" s="70" t="n">
        <v>2</v>
      </c>
      <c r="V52" s="78">
        <f>SUM(M52:U52)</f>
        <v/>
      </c>
      <c r="W52" s="39">
        <f>V52 - (V52 * (SUBSTITUTE(SUBSTITUTE($W$2, "Optimistic (", ""), "%)", "") / 100))</f>
        <v/>
      </c>
      <c r="X52" s="39">
        <f>V52 + (V52 * (SUBSTITUTE(SUBSTITUTE($X$2, "Pessimistic (", ""), "%)", "") / 100))</f>
        <v/>
      </c>
      <c r="Y52" s="79">
        <f>(W52+(4*V52)+X52)/6</f>
        <v/>
      </c>
      <c r="Z52" s="169">
        <f>Y52/2</f>
        <v/>
      </c>
      <c r="AA52" s="180" t="n"/>
      <c r="AB52" s="180" t="n"/>
      <c r="AC52" s="180" t="n"/>
      <c r="AD52" s="181" t="n"/>
      <c r="AE52" s="200">
        <f>IF($Z52="",0,IF($M52="",0,$M52))</f>
        <v/>
      </c>
      <c r="AF52" s="200">
        <f>IF(OR($Z52="",$N52=""),0,$Z52*5%)</f>
        <v/>
      </c>
      <c r="AG52" s="200">
        <f>IF(OR($Z52="",$O52=""),0,$Z52*10%)</f>
        <v/>
      </c>
      <c r="AH52" s="200">
        <f>IF($Z52="",0,IF(AND($P52="",$Q52=""),($Z52-$AE52-$AF52-$AG52-$AJ52-$AK52-$AL52-$AM52-$AN52),IF($P52="",0,IF($Q52="",($Z52-$AE52-$AF52-$AG52-$AJ52-$AK52-$AL52-$AM52-$AN52),($Z52-$AE52-$AF52-$AG52-$AJ52-$AK52-$AL52-$AM52-$AN52)*40%/(40%+15%)))))</f>
        <v/>
      </c>
      <c r="AI52" s="200">
        <f>IF($Z52="",0,IF(AND($P52="",$Q52=""),0,IF($Q52="",0,IF($P52="",($Z52-$AE52-$AF52-$AG52-$AJ52-$AK52-$AL52-$AM52-$AN52),($Z52-$AE52-$AF52-$AG52-$AJ52-$AK52-$AL52-$AM52-$AN52)*15%/(40%+15%)))))</f>
        <v/>
      </c>
      <c r="AJ52" s="282">
        <f>IF($Z52="",0,$Z52*15%)</f>
        <v/>
      </c>
      <c r="AK52" s="200">
        <f>IF($Z52="",0,IF($R52="",0,$R52))</f>
        <v/>
      </c>
      <c r="AL52" s="200">
        <f>IF(OR($Z52="",$S52=""),0,$Z52*5%)</f>
        <v/>
      </c>
      <c r="AM52" s="200">
        <f>IF(OR($Z52="",$T52=""),0,$Z52*10%)</f>
        <v/>
      </c>
      <c r="AN52" s="200">
        <f>IF($Z52="",0,IF($U52="",0,$U52))</f>
        <v/>
      </c>
    </row>
    <row r="53" hidden="1" ht="18" customHeight="1" s="300">
      <c r="A53" s="84">
        <f>IF(D53="","",A52+1)</f>
        <v/>
      </c>
      <c r="B53" s="70" t="inlineStr">
        <is>
          <t>TO CATEGORIZE YET</t>
        </is>
      </c>
      <c r="C53" s="70" t="inlineStr">
        <is>
          <t>TO CATEGORIZE YET</t>
        </is>
      </c>
      <c r="D53" s="97" t="inlineStr">
        <is>
          <t>Get delivery data from OMC companies from their ERP via API and match with how much exact delivery is delivered to Tank at Site to make sure if the Dealer has decanted some delivery to else where or not.</t>
        </is>
      </c>
      <c r="E53" s="243" t="n"/>
      <c r="F53" s="86" t="inlineStr">
        <is>
          <t>To compliance with OGRA</t>
        </is>
      </c>
      <c r="G53" s="89" t="n"/>
      <c r="H53" s="70" t="n"/>
      <c r="I53" s="70" t="n"/>
      <c r="J53" s="70" t="n"/>
      <c r="K53" s="70" t="n"/>
      <c r="L53" s="70" t="n"/>
      <c r="M53" s="70" t="n"/>
      <c r="N53" s="70" t="n"/>
      <c r="O53" s="81" t="n">
        <v>1</v>
      </c>
      <c r="P53" s="81" t="n">
        <v>3</v>
      </c>
      <c r="Q53" s="81" t="n">
        <v>1</v>
      </c>
      <c r="R53" s="70" t="n"/>
      <c r="S53" s="70" t="n">
        <v>5</v>
      </c>
      <c r="T53" s="70" t="n"/>
      <c r="U53" s="70" t="n">
        <v>2</v>
      </c>
      <c r="V53" s="78">
        <f>SUM(M53:U53)</f>
        <v/>
      </c>
      <c r="W53" s="39">
        <f>V53 - (V53 * (SUBSTITUTE(SUBSTITUTE($W$2, "Optimistic (", ""), "%)", "") / 100))</f>
        <v/>
      </c>
      <c r="X53" s="39">
        <f>V53 + (V53 * (SUBSTITUTE(SUBSTITUTE($X$2, "Pessimistic (", ""), "%)", "") / 100))</f>
        <v/>
      </c>
      <c r="Y53" s="79">
        <f>(W53+(4*V53)+X53)/6</f>
        <v/>
      </c>
      <c r="Z53" s="169">
        <f>Y53/2</f>
        <v/>
      </c>
      <c r="AA53" s="180" t="n"/>
      <c r="AB53" s="180" t="n"/>
      <c r="AC53" s="180" t="n"/>
      <c r="AD53" s="181" t="n"/>
      <c r="AE53" s="200">
        <f>IF($Z53="",0,IF($M53="",0,$M53))</f>
        <v/>
      </c>
      <c r="AF53" s="200">
        <f>IF(OR($Z53="",$N53=""),0,$Z53*5%)</f>
        <v/>
      </c>
      <c r="AG53" s="200">
        <f>IF(OR($Z53="",$O53=""),0,$Z53*10%)</f>
        <v/>
      </c>
      <c r="AH53" s="200">
        <f>IF($Z53="",0,IF(AND($P53="",$Q53=""),($Z53-$AE53-$AF53-$AG53-$AJ53-$AK53-$AL53-$AM53-$AN53),IF($P53="",0,IF($Q53="",($Z53-$AE53-$AF53-$AG53-$AJ53-$AK53-$AL53-$AM53-$AN53),($Z53-$AE53-$AF53-$AG53-$AJ53-$AK53-$AL53-$AM53-$AN53)*40%/(40%+15%)))))</f>
        <v/>
      </c>
      <c r="AI53" s="200">
        <f>IF($Z53="",0,IF(AND($P53="",$Q53=""),0,IF($Q53="",0,IF($P53="",($Z53-$AE53-$AF53-$AG53-$AJ53-$AK53-$AL53-$AM53-$AN53),($Z53-$AE53-$AF53-$AG53-$AJ53-$AK53-$AL53-$AM53-$AN53)*15%/(40%+15%)))))</f>
        <v/>
      </c>
      <c r="AJ53" s="282">
        <f>IF($Z53="",0,$Z53*15%)</f>
        <v/>
      </c>
      <c r="AK53" s="200">
        <f>IF($Z53="",0,IF($R53="",0,$R53))</f>
        <v/>
      </c>
      <c r="AL53" s="200">
        <f>IF(OR($Z53="",$S53=""),0,$Z53*5%)</f>
        <v/>
      </c>
      <c r="AM53" s="200">
        <f>IF(OR($Z53="",$T53=""),0,$Z53*10%)</f>
        <v/>
      </c>
      <c r="AN53" s="200">
        <f>IF($Z53="",0,IF($U53="",0,$U53))</f>
        <v/>
      </c>
    </row>
    <row r="54" hidden="1" ht="18" customHeight="1" s="300">
      <c r="A54" s="84">
        <f>IF(D54="","",A53+1)</f>
        <v/>
      </c>
      <c r="B54" s="70" t="inlineStr">
        <is>
          <t>TO CATEGORIZE YET</t>
        </is>
      </c>
      <c r="C54" s="70" t="inlineStr">
        <is>
          <t>TO CATEGORIZE YET</t>
        </is>
      </c>
      <c r="D54" s="97" t="inlineStr">
        <is>
          <t>Take manual dip reading with DateTime stamp for opening and closing stocks. And make separate reconciliation report wchih will take manual dip readings entered by user.</t>
        </is>
      </c>
      <c r="E54" s="243" t="n"/>
      <c r="F54" s="86" t="inlineStr">
        <is>
          <t>To compliance with OGRA</t>
        </is>
      </c>
      <c r="G54" s="89" t="n"/>
      <c r="H54" s="70" t="n"/>
      <c r="I54" s="70" t="n"/>
      <c r="J54" s="70" t="n"/>
      <c r="K54" s="70" t="n"/>
      <c r="L54" s="70" t="n"/>
      <c r="M54" s="70" t="n"/>
      <c r="N54" s="70" t="n"/>
      <c r="O54" s="81" t="n">
        <v>1</v>
      </c>
      <c r="P54" s="81" t="n">
        <v>5</v>
      </c>
      <c r="Q54" s="81" t="n">
        <v>1</v>
      </c>
      <c r="R54" s="70" t="n"/>
      <c r="S54" s="70" t="n">
        <v>5</v>
      </c>
      <c r="T54" s="70" t="n"/>
      <c r="U54" s="70" t="n">
        <v>2</v>
      </c>
      <c r="V54" s="78">
        <f>SUM(M54:U54)</f>
        <v/>
      </c>
      <c r="W54" s="39">
        <f>V54 - (V54 * (SUBSTITUTE(SUBSTITUTE($W$2, "Optimistic (", ""), "%)", "") / 100))</f>
        <v/>
      </c>
      <c r="X54" s="39">
        <f>V54 + (V54 * (SUBSTITUTE(SUBSTITUTE($X$2, "Pessimistic (", ""), "%)", "") / 100))</f>
        <v/>
      </c>
      <c r="Y54" s="79">
        <f>(W54+(4*V54)+X54)/6</f>
        <v/>
      </c>
      <c r="Z54" s="169">
        <f>Y54/2</f>
        <v/>
      </c>
      <c r="AA54" s="180" t="n"/>
      <c r="AB54" s="180" t="n"/>
      <c r="AC54" s="180" t="n"/>
      <c r="AD54" s="181" t="n"/>
      <c r="AE54" s="200">
        <f>IF($Z54="",0,IF($M54="",0,$M54))</f>
        <v/>
      </c>
      <c r="AF54" s="200">
        <f>IF(OR($Z54="",$N54=""),0,$Z54*5%)</f>
        <v/>
      </c>
      <c r="AG54" s="200">
        <f>IF(OR($Z54="",$O54=""),0,$Z54*10%)</f>
        <v/>
      </c>
      <c r="AH54" s="200">
        <f>IF($Z54="",0,IF(AND($P54="",$Q54=""),($Z54-$AE54-$AF54-$AG54-$AJ54-$AK54-$AL54-$AM54-$AN54),IF($P54="",0,IF($Q54="",($Z54-$AE54-$AF54-$AG54-$AJ54-$AK54-$AL54-$AM54-$AN54),($Z54-$AE54-$AF54-$AG54-$AJ54-$AK54-$AL54-$AM54-$AN54)*40%/(40%+15%)))))</f>
        <v/>
      </c>
      <c r="AI54" s="200">
        <f>IF($Z54="",0,IF(AND($P54="",$Q54=""),0,IF($Q54="",0,IF($P54="",($Z54-$AE54-$AF54-$AG54-$AJ54-$AK54-$AL54-$AM54-$AN54),($Z54-$AE54-$AF54-$AG54-$AJ54-$AK54-$AL54-$AM54-$AN54)*15%/(40%+15%)))))</f>
        <v/>
      </c>
      <c r="AJ54" s="282">
        <f>IF($Z54="",0,$Z54*15%)</f>
        <v/>
      </c>
      <c r="AK54" s="200">
        <f>IF($Z54="",0,IF($R54="",0,$R54))</f>
        <v/>
      </c>
      <c r="AL54" s="200">
        <f>IF(OR($Z54="",$S54=""),0,$Z54*5%)</f>
        <v/>
      </c>
      <c r="AM54" s="200">
        <f>IF(OR($Z54="",$T54=""),0,$Z54*10%)</f>
        <v/>
      </c>
      <c r="AN54" s="200">
        <f>IF($Z54="",0,IF($U54="",0,$U54))</f>
        <v/>
      </c>
    </row>
    <row r="55" ht="18" customHeight="1" s="300">
      <c r="A55" s="84">
        <f>IF(D55="","",A54+1)</f>
        <v/>
      </c>
      <c r="B55" s="70" t="inlineStr">
        <is>
          <t>TO CATEGORIZE YET</t>
        </is>
      </c>
      <c r="C55" s="70" t="inlineStr">
        <is>
          <t>TO CATEGORIZE YET</t>
        </is>
      </c>
      <c r="D55" s="104" t="inlineStr">
        <is>
          <t>Configurable Site Reconn. Time (done)</t>
        </is>
      </c>
      <c r="E55" s="245" t="n"/>
      <c r="F55" s="87" t="inlineStr">
        <is>
          <t>PGL</t>
        </is>
      </c>
      <c r="G55" s="89" t="n"/>
      <c r="H55" s="70" t="n"/>
      <c r="I55" s="70" t="n"/>
      <c r="J55" s="70" t="n"/>
      <c r="K55" s="70" t="n"/>
      <c r="L55" s="70" t="n"/>
      <c r="M55" s="70" t="n"/>
      <c r="N55" s="70" t="n"/>
      <c r="O55" s="81" t="n">
        <v>0</v>
      </c>
      <c r="P55" s="81" t="n">
        <v>10</v>
      </c>
      <c r="Q55" s="81" t="n">
        <v>2</v>
      </c>
      <c r="R55" s="70" t="n"/>
      <c r="S55" s="70" t="n"/>
      <c r="T55" s="70" t="n"/>
      <c r="U55" s="70" t="n"/>
      <c r="V55" s="78">
        <f>SUM(M55:U55)</f>
        <v/>
      </c>
      <c r="W55" s="39">
        <f>V55 - (V55 * (SUBSTITUTE(SUBSTITUTE($W$2, "Optimistic (", ""), "%)", "") / 100))</f>
        <v/>
      </c>
      <c r="X55" s="39">
        <f>V55 + (V55 * (SUBSTITUTE(SUBSTITUTE($X$2, "Pessimistic (", ""), "%)", "") / 100))</f>
        <v/>
      </c>
      <c r="Y55" s="79">
        <f>(W55+(4*V55)+X55)/6</f>
        <v/>
      </c>
      <c r="Z55" s="169">
        <f>Y55/2</f>
        <v/>
      </c>
      <c r="AA55" s="180" t="n"/>
      <c r="AB55" s="180" t="n"/>
      <c r="AC55" s="180" t="n"/>
      <c r="AD55" s="181" t="n"/>
      <c r="AE55" s="200">
        <f>IF($Z55="",0,IF($M55="",0,$M55))</f>
        <v/>
      </c>
      <c r="AF55" s="200">
        <f>IF(OR($Z55="",$N55=""),0,$Z55*5%)</f>
        <v/>
      </c>
      <c r="AG55" s="200">
        <f>IF(OR($Z55="",$O55=""),0,$Z55*10%)</f>
        <v/>
      </c>
      <c r="AH55" s="200">
        <f>IF($Z55="",0,IF(AND($P55="",$Q55=""),($Z55-$AE55-$AF55-$AG55-$AJ55-$AK55-$AL55-$AM55-$AN55),IF($P55="",0,IF($Q55="",($Z55-$AE55-$AF55-$AG55-$AJ55-$AK55-$AL55-$AM55-$AN55),($Z55-$AE55-$AF55-$AG55-$AJ55-$AK55-$AL55-$AM55-$AN55)*40%/(40%+15%)))))</f>
        <v/>
      </c>
      <c r="AI55" s="200">
        <f>IF($Z55="",0,IF(AND($P55="",$Q55=""),0,IF($Q55="",0,IF($P55="",($Z55-$AE55-$AF55-$AG55-$AJ55-$AK55-$AL55-$AM55-$AN55),($Z55-$AE55-$AF55-$AG55-$AJ55-$AK55-$AL55-$AM55-$AN55)*15%/(40%+15%)))))</f>
        <v/>
      </c>
      <c r="AJ55" s="282">
        <f>IF($Z55="",0,$Z55*15%)</f>
        <v/>
      </c>
      <c r="AK55" s="200">
        <f>IF($Z55="",0,IF($R55="",0,$R55))</f>
        <v/>
      </c>
      <c r="AL55" s="200">
        <f>IF(OR($Z55="",$S55=""),0,$Z55*5%)</f>
        <v/>
      </c>
      <c r="AM55" s="200">
        <f>IF(OR($Z55="",$T55=""),0,$Z55*10%)</f>
        <v/>
      </c>
      <c r="AN55" s="200">
        <f>IF($Z55="",0,IF($U55="",0,$U55))</f>
        <v/>
      </c>
    </row>
    <row r="56" hidden="1" ht="18" customFormat="1" customHeight="1" s="299">
      <c r="V56" s="127">
        <f>SUM(V3:V55)*Settings!I2</f>
        <v/>
      </c>
      <c r="W56" s="39">
        <f>SUM(W3:W55)*Settings!I2</f>
        <v/>
      </c>
      <c r="X56" s="39">
        <f>SUM(X3:X55)*Settings!I2</f>
        <v/>
      </c>
      <c r="Y56" s="79">
        <f>SUM(Y3:Y55)*Settings!I2</f>
        <v/>
      </c>
      <c r="Z56" s="79">
        <f>SUM(Z3:Z55)*Settings!I2</f>
        <v/>
      </c>
      <c r="AA56" s="164" t="n"/>
      <c r="AB56" s="164" t="n"/>
      <c r="AC56" s="164" t="n"/>
      <c r="AD56" s="164" t="n"/>
      <c r="AG56">
        <f>IF(OR($Z56="",$O56=""),0,$Z56*10%)</f>
        <v/>
      </c>
      <c r="AH56">
        <f>IF($Z56="",0,IF(AND($P56="",$Q56=""),($Z56-$AE56-$AF56-$AG56-$AJ56-$AK56-$AL56-$AM56-$AN56),IF($P56="",0,IF($Q56="",($Z56-$AE56-$AF56-$AG56-$AJ56-$AK56-$AL56-$AM56-$AN56),($Z56-$AE56-$AF56-$AG56-$AJ56-$AK56-$AL56-$AM56-$AN56)*40%/(40%+15%)))))</f>
        <v/>
      </c>
      <c r="AI56">
        <f>IF($Z56="",0,IF(AND($P56="",$Q56=""),0,IF($Q56="",0,IF($P56="",($Z56-$AE56-$AF56-$AG56-$AJ56-$AK56-$AL56-$AM56-$AN56),($Z56-$AE56-$AF56-$AG56-$AJ56-$AK56-$AL56-$AM56-$AN56)*15%/(40%+15%)))))</f>
        <v/>
      </c>
      <c r="AJ56" s="280">
        <f>IF($Z56="",0,$Z56*15%)</f>
        <v/>
      </c>
      <c r="AK56">
        <f>IF($Z56="",0,IF($R56="",0,$R56))</f>
        <v/>
      </c>
      <c r="AL56">
        <f>IF(OR($Z56="",$S56=""),0,$Z56*5%)</f>
        <v/>
      </c>
      <c r="AM56">
        <f>IF(OR($Z56="",$T56=""),0,$Z56*10%)</f>
        <v/>
      </c>
      <c r="AN56">
        <f>IF($Z56="",0,IF($U56="",0,$U56))</f>
        <v/>
      </c>
    </row>
    <row r="57" ht="18" customFormat="1" customHeight="1" s="299">
      <c r="AG57" s="299">
        <f>IF(OR($Z57="",$O57=""),0,$Z57*10%)</f>
        <v/>
      </c>
      <c r="AH57" s="299">
        <f>IF($Z57="",0,IF(AND($P57="",$Q57=""),($Z57-$AE57-$AF57-$AG57-$AJ57-$AK57-$AL57-$AM57-$AN57),IF($P57="",0,IF($Q57="",($Z57-$AE57-$AF57-$AG57-$AJ57-$AK57-$AL57-$AM57-$AN57),($Z57-$AE57-$AF57-$AG57-$AJ57-$AK57-$AL57-$AM57-$AN57)*40%/(40%+15%)))))</f>
        <v/>
      </c>
      <c r="AI57" s="299">
        <f>IF($Z57="",0,IF(AND($P57="",$Q57=""),0,IF($Q57="",0,IF($P57="",($Z57-$AE57-$AF57-$AG57-$AJ57-$AK57-$AL57-$AM57-$AN57),($Z57-$AE57-$AF57-$AG57-$AJ57-$AK57-$AL57-$AM57-$AN57)*15%/(40%+15%)))))</f>
        <v/>
      </c>
      <c r="AJ57" s="299">
        <f>IF($Z57="",0,$Z57*15%)</f>
        <v/>
      </c>
      <c r="AK57" s="299">
        <f>IF($Z57="",0,IF($R57="",0,$R57))</f>
        <v/>
      </c>
      <c r="AL57" s="299">
        <f>IF(OR($Z57="",$S57=""),0,$Z57*5%)</f>
        <v/>
      </c>
      <c r="AM57" s="299">
        <f>IF(OR($Z57="",$T57=""),0,$Z57*10%)</f>
        <v/>
      </c>
      <c r="AN57" s="299">
        <f>IF($Z57="",0,IF($U57="",0,$U57))</f>
        <v/>
      </c>
    </row>
    <row r="58" ht="18" customFormat="1" customHeight="1" s="299">
      <c r="AG58" s="299">
        <f>IF(OR($Z58="",$O58=""),0,$Z58*10%)</f>
        <v/>
      </c>
      <c r="AH58" s="299">
        <f>IF($Z58="",0,IF(AND($P58="",$Q58=""),($Z58-$AE58-$AF58-$AG58-$AJ58-$AK58-$AL58-$AM58-$AN58),IF($P58="",0,IF($Q58="",($Z58-$AE58-$AF58-$AG58-$AJ58-$AK58-$AL58-$AM58-$AN58),($Z58-$AE58-$AF58-$AG58-$AJ58-$AK58-$AL58-$AM58-$AN58)*40%/(40%+15%)))))</f>
        <v/>
      </c>
      <c r="AI58" s="299">
        <f>IF($Z58="",0,IF(AND($P58="",$Q58=""),0,IF($Q58="",0,IF($P58="",($Z58-$AE58-$AF58-$AG58-$AJ58-$AK58-$AL58-$AM58-$AN58),($Z58-$AE58-$AF58-$AG58-$AJ58-$AK58-$AL58-$AM58-$AN58)*15%/(40%+15%)))))</f>
        <v/>
      </c>
      <c r="AJ58" s="299">
        <f>IF($Z58="",0,$Z58*15%)</f>
        <v/>
      </c>
      <c r="AK58" s="299">
        <f>IF($Z58="",0,IF($R58="",0,$R58))</f>
        <v/>
      </c>
      <c r="AL58" s="299">
        <f>IF(OR($Z58="",$S58=""),0,$Z58*5%)</f>
        <v/>
      </c>
      <c r="AM58" s="299">
        <f>IF(OR($Z58="",$T58=""),0,$Z58*10%)</f>
        <v/>
      </c>
      <c r="AN58" s="299">
        <f>IF($Z58="",0,IF($U58="",0,$U58))</f>
        <v/>
      </c>
    </row>
    <row r="59" ht="18" customFormat="1" customHeight="1" s="299">
      <c r="AG59" s="299">
        <f>IF(OR($Z59="",$O59=""),0,$Z59*10%)</f>
        <v/>
      </c>
      <c r="AH59" s="299">
        <f>IF($Z59="",0,IF(AND($P59="",$Q59=""),($Z59-$AE59-$AF59-$AG59-$AJ59-$AK59-$AL59-$AM59-$AN59),IF($P59="",0,IF($Q59="",($Z59-$AE59-$AF59-$AG59-$AJ59-$AK59-$AL59-$AM59-$AN59),($Z59-$AE59-$AF59-$AG59-$AJ59-$AK59-$AL59-$AM59-$AN59)*40%/(40%+15%)))))</f>
        <v/>
      </c>
      <c r="AI59" s="299">
        <f>IF($Z59="",0,IF(AND($P59="",$Q59=""),0,IF($Q59="",0,IF($P59="",($Z59-$AE59-$AF59-$AG59-$AJ59-$AK59-$AL59-$AM59-$AN59),($Z59-$AE59-$AF59-$AG59-$AJ59-$AK59-$AL59-$AM59-$AN59)*15%/(40%+15%)))))</f>
        <v/>
      </c>
      <c r="AJ59" s="299">
        <f>IF($Z59="",0,$Z59*15%)</f>
        <v/>
      </c>
      <c r="AK59" s="299">
        <f>IF($Z59="",0,IF($R59="",0,$R59))</f>
        <v/>
      </c>
      <c r="AL59" s="299">
        <f>IF(OR($Z59="",$S59=""),0,$Z59*5%)</f>
        <v/>
      </c>
      <c r="AM59" s="299">
        <f>IF(OR($Z59="",$T59=""),0,$Z59*10%)</f>
        <v/>
      </c>
      <c r="AN59" s="299">
        <f>IF($Z59="",0,IF($U59="",0,$U59))</f>
        <v/>
      </c>
    </row>
    <row r="60" ht="18" customFormat="1" customHeight="1" s="299">
      <c r="AG60" s="299">
        <f>IF(OR($Z60="",$O60=""),0,$Z60*10%)</f>
        <v/>
      </c>
      <c r="AH60" s="299">
        <f>IF($Z60="",0,IF(AND($P60="",$Q60=""),($Z60-$AE60-$AF60-$AG60-$AJ60-$AK60-$AL60-$AM60-$AN60),IF($P60="",0,IF($Q60="",($Z60-$AE60-$AF60-$AG60-$AJ60-$AK60-$AL60-$AM60-$AN60),($Z60-$AE60-$AF60-$AG60-$AJ60-$AK60-$AL60-$AM60-$AN60)*40%/(40%+15%)))))</f>
        <v/>
      </c>
      <c r="AI60" s="299">
        <f>IF($Z60="",0,IF(AND($P60="",$Q60=""),0,IF($Q60="",0,IF($P60="",($Z60-$AE60-$AF60-$AG60-$AJ60-$AK60-$AL60-$AM60-$AN60),($Z60-$AE60-$AF60-$AG60-$AJ60-$AK60-$AL60-$AM60-$AN60)*15%/(40%+15%)))))</f>
        <v/>
      </c>
      <c r="AJ60" s="299">
        <f>IF($Z60="",0,$Z60*15%)</f>
        <v/>
      </c>
      <c r="AK60" s="299">
        <f>IF($Z60="",0,IF($R60="",0,$R60))</f>
        <v/>
      </c>
      <c r="AL60" s="299">
        <f>IF(OR($Z60="",$S60=""),0,$Z60*5%)</f>
        <v/>
      </c>
      <c r="AM60" s="299">
        <f>IF(OR($Z60="",$T60=""),0,$Z60*10%)</f>
        <v/>
      </c>
      <c r="AN60" s="299">
        <f>IF($Z60="",0,IF($U60="",0,$U60))</f>
        <v/>
      </c>
    </row>
  </sheetData>
  <autoFilter ref="A2:AP56">
    <filterColumn colId="5" hiddenButton="0" showButton="1">
      <filters>
        <filter val="PGL"/>
      </filters>
    </filterColumn>
  </autoFilter>
  <mergeCells count="12">
    <mergeCell ref="A1:D1"/>
    <mergeCell ref="B22:B28"/>
    <mergeCell ref="M1:V1"/>
    <mergeCell ref="C3:C5"/>
    <mergeCell ref="C19:C21"/>
    <mergeCell ref="B6:B21"/>
    <mergeCell ref="W1:AN1"/>
    <mergeCell ref="B3:B5"/>
    <mergeCell ref="C23:C25"/>
    <mergeCell ref="B29:B34"/>
    <mergeCell ref="C6:C17"/>
    <mergeCell ref="C26:C28"/>
  </mergeCells>
  <hyperlinks>
    <hyperlink xmlns:r="http://schemas.openxmlformats.org/officeDocument/2006/relationships" ref="E22" r:id="rId1"/>
    <hyperlink xmlns:r="http://schemas.openxmlformats.org/officeDocument/2006/relationships" ref="E26" r:id="rId2"/>
    <hyperlink xmlns:r="http://schemas.openxmlformats.org/officeDocument/2006/relationships" ref="E27" r:id="rId3"/>
    <hyperlink xmlns:r="http://schemas.openxmlformats.org/officeDocument/2006/relationships" ref="E28" r:id="rId4"/>
    <hyperlink xmlns:r="http://schemas.openxmlformats.org/officeDocument/2006/relationships" ref="E31" r:id="rId5"/>
    <hyperlink xmlns:r="http://schemas.openxmlformats.org/officeDocument/2006/relationships" ref="E33" r:id="rId6"/>
    <hyperlink xmlns:r="http://schemas.openxmlformats.org/officeDocument/2006/relationships" ref="E34" r:id="rId7"/>
    <hyperlink xmlns:r="http://schemas.openxmlformats.org/officeDocument/2006/relationships" ref="E36" r:id="rId8"/>
    <hyperlink xmlns:r="http://schemas.openxmlformats.org/officeDocument/2006/relationships" ref="E37" r:id="rId9"/>
  </hyperlink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AO18"/>
  <sheetViews>
    <sheetView workbookViewId="0">
      <pane xSplit="5" ySplit="12" topLeftCell="F13" activePane="bottomRight" state="frozen"/>
      <selection pane="topRight" activeCell="A1" sqref="A1"/>
      <selection pane="bottomLeft" activeCell="A1" sqref="A1"/>
      <selection pane="bottomRight" activeCell="H8" sqref="D8:H8"/>
    </sheetView>
  </sheetViews>
  <sheetFormatPr baseColWidth="8" defaultRowHeight="18" customHeight="1"/>
  <cols>
    <col width="4.44140625" bestFit="1" customWidth="1" style="300" min="1" max="1"/>
    <col width="14.44140625" bestFit="1" customWidth="1" style="300" min="2" max="2"/>
    <col width="23.88671875" bestFit="1" customWidth="1" style="300" min="3" max="3"/>
    <col width="46.5546875" customWidth="1" style="300" min="4" max="4"/>
    <col width="14.44140625" customWidth="1" style="300" min="5" max="5"/>
    <col width="14.33203125" customWidth="1" style="300" min="6" max="6"/>
    <col width="10" customWidth="1" style="300" min="7" max="8"/>
    <col width="9.109375" customWidth="1" style="300" min="9" max="9"/>
    <col width="7.6640625" customWidth="1" style="300" min="10" max="12"/>
    <col width="11.5546875" customWidth="1" style="300" min="13" max="13"/>
    <col width="8.88671875" customWidth="1" style="300" min="14" max="21"/>
    <col width="9.33203125" customWidth="1" style="300" min="22" max="22"/>
    <col width="16" bestFit="1" customWidth="1" style="300" min="23" max="23"/>
    <col width="16.5546875" bestFit="1" customWidth="1" style="300" min="24" max="24"/>
    <col width="11.6640625" bestFit="1" customWidth="1" style="300" min="25" max="25"/>
    <col width="11.6640625" customWidth="1" style="314" min="26" max="26"/>
    <col width="11.6640625" customWidth="1" style="315" min="27" max="30"/>
    <col width="15" bestFit="1" customWidth="1" style="300" min="31" max="31"/>
    <col width="11.33203125" bestFit="1" customWidth="1" style="300" min="32" max="32"/>
    <col width="12.5546875" bestFit="1" customWidth="1" style="300" min="33" max="33"/>
    <col width="10.109375" bestFit="1" customWidth="1" style="300" min="34" max="34"/>
    <col width="10.44140625" bestFit="1" customWidth="1" style="300" min="35" max="35"/>
    <col width="14" bestFit="1" customWidth="1" style="300" min="36" max="36"/>
    <col width="9" bestFit="1" customWidth="1" style="300" min="37" max="37"/>
    <col width="13.33203125" bestFit="1" customWidth="1" style="300" min="38" max="38"/>
    <col width="12.44140625" bestFit="1" customWidth="1" style="300" min="39" max="39"/>
  </cols>
  <sheetData>
    <row r="1" ht="18" customHeight="1" s="300">
      <c r="A1" s="285" t="inlineStr">
        <is>
          <t>OmniChat Roadmap Items</t>
        </is>
      </c>
      <c r="B1" s="286" t="n"/>
      <c r="C1" s="286" t="n"/>
      <c r="D1" s="286" t="n"/>
      <c r="E1" s="227" t="n"/>
      <c r="F1" s="7" t="n"/>
      <c r="G1" s="7" t="n"/>
      <c r="H1" s="40" t="inlineStr">
        <is>
          <t>BHW</t>
        </is>
      </c>
      <c r="I1" s="40" t="inlineStr">
        <is>
          <t>TK</t>
        </is>
      </c>
      <c r="J1" s="40" t="inlineStr">
        <is>
          <t>AA</t>
        </is>
      </c>
      <c r="K1" s="40" t="inlineStr">
        <is>
          <t>TS</t>
        </is>
      </c>
      <c r="L1" s="41" t="n"/>
      <c r="M1" s="293" t="inlineStr">
        <is>
          <t>RnD Most likely</t>
        </is>
      </c>
      <c r="N1" s="286" t="n"/>
      <c r="O1" s="286" t="n"/>
      <c r="P1" s="286" t="n"/>
      <c r="Q1" s="286" t="n"/>
      <c r="R1" s="286" t="n"/>
      <c r="S1" s="286" t="n"/>
      <c r="T1" s="286" t="n"/>
      <c r="U1" s="286" t="n"/>
      <c r="V1" s="286" t="n"/>
      <c r="W1" s="313" t="inlineStr">
        <is>
          <t>TK Budgeted</t>
        </is>
      </c>
    </row>
    <row r="2" ht="18" customHeight="1" s="300">
      <c r="A2" s="3" t="inlineStr">
        <is>
          <t>Sr #</t>
        </is>
      </c>
      <c r="B2" s="3" t="inlineStr">
        <is>
          <t>Category</t>
        </is>
      </c>
      <c r="C2" s="32" t="inlineStr">
        <is>
          <t>Components</t>
        </is>
      </c>
      <c r="D2" s="27" t="inlineStr">
        <is>
          <t>Road Map Items</t>
        </is>
      </c>
      <c r="E2" s="27" t="inlineStr">
        <is>
          <t>Jira ID</t>
        </is>
      </c>
      <c r="F2" s="3" t="inlineStr">
        <is>
          <t>Originator</t>
        </is>
      </c>
      <c r="G2" s="3" t="inlineStr">
        <is>
          <t>Value</t>
        </is>
      </c>
      <c r="H2" s="42" t="inlineStr">
        <is>
          <t>Priority</t>
        </is>
      </c>
      <c r="I2" s="42" t="inlineStr">
        <is>
          <t>Priority</t>
        </is>
      </c>
      <c r="J2" s="42" t="inlineStr">
        <is>
          <t>Priority</t>
        </is>
      </c>
      <c r="K2" s="42" t="inlineStr">
        <is>
          <t>Priority</t>
        </is>
      </c>
      <c r="L2" s="42" t="inlineStr">
        <is>
          <t>Plan Status</t>
        </is>
      </c>
      <c r="M2" s="48" t="inlineStr">
        <is>
          <t>Prc Design</t>
        </is>
      </c>
      <c r="N2" s="48" t="inlineStr">
        <is>
          <t>R/URS</t>
        </is>
      </c>
      <c r="O2" s="48" t="inlineStr">
        <is>
          <t>R/DDS</t>
        </is>
      </c>
      <c r="P2" s="48" t="inlineStr">
        <is>
          <t>Dev</t>
        </is>
      </c>
      <c r="Q2" s="48" t="inlineStr">
        <is>
          <t>SQA</t>
        </is>
      </c>
      <c r="R2" s="48" t="inlineStr">
        <is>
          <t>Prc Test</t>
        </is>
      </c>
      <c r="S2" s="48" t="inlineStr">
        <is>
          <t>Doc</t>
        </is>
      </c>
      <c r="T2" s="48" t="inlineStr">
        <is>
          <t>Reg SQA</t>
        </is>
      </c>
      <c r="U2" s="48" t="inlineStr">
        <is>
          <t>Release</t>
        </is>
      </c>
      <c r="V2" s="49" t="inlineStr">
        <is>
          <t>Man Days</t>
        </is>
      </c>
      <c r="W2" s="38">
        <f>"Optimistic ("&amp;Summary!E7&amp;")"</f>
        <v/>
      </c>
      <c r="X2" s="38" t="inlineStr">
        <is>
          <t>Pessimistic (10%)</t>
        </is>
      </c>
      <c r="Y2" s="38" t="inlineStr">
        <is>
          <t>Est Formula</t>
        </is>
      </c>
      <c r="Z2" s="165" t="inlineStr">
        <is>
          <t>TK's TARGET</t>
        </is>
      </c>
      <c r="AA2" s="166" t="inlineStr">
        <is>
          <t>Start Date</t>
        </is>
      </c>
      <c r="AB2" s="166" t="inlineStr">
        <is>
          <t>Dev End</t>
        </is>
      </c>
      <c r="AC2" s="166" t="inlineStr">
        <is>
          <t>SQA HO</t>
        </is>
      </c>
      <c r="AD2" s="166" t="inlineStr">
        <is>
          <t>Prod Date</t>
        </is>
      </c>
      <c r="AE2" s="203" t="inlineStr">
        <is>
          <t>Prc Design</t>
        </is>
      </c>
      <c r="AF2" s="77" t="inlineStr">
        <is>
          <t>R/URS (5%)</t>
        </is>
      </c>
      <c r="AG2" s="77" t="inlineStr">
        <is>
          <t>R/DDS (10%)</t>
        </is>
      </c>
      <c r="AH2" s="77" t="inlineStr">
        <is>
          <t>Dev (40%)</t>
        </is>
      </c>
      <c r="AI2" s="77" t="inlineStr">
        <is>
          <t>SQA (15%)</t>
        </is>
      </c>
      <c r="AJ2" s="281" t="inlineStr">
        <is>
          <t>Bug Fixing (15%)</t>
        </is>
      </c>
      <c r="AK2" s="203" t="inlineStr">
        <is>
          <t>Prc Test</t>
        </is>
      </c>
      <c r="AL2" s="77" t="inlineStr">
        <is>
          <t>Doc (5%)</t>
        </is>
      </c>
      <c r="AM2" s="77" t="inlineStr">
        <is>
          <t>Reg SQA (10%)</t>
        </is>
      </c>
      <c r="AN2" s="203" t="inlineStr">
        <is>
          <t>Release</t>
        </is>
      </c>
    </row>
    <row r="3" ht="18" customHeight="1" s="300">
      <c r="A3" s="1" t="n">
        <v>1</v>
      </c>
      <c r="B3" s="291" t="inlineStr">
        <is>
          <t>Input</t>
        </is>
      </c>
      <c r="C3" s="291" t="n"/>
      <c r="D3" s="1" t="n"/>
      <c r="E3" s="1" t="n"/>
      <c r="F3" s="1" t="n"/>
      <c r="G3" s="1" t="n"/>
      <c r="H3" s="1" t="n"/>
      <c r="I3" s="1" t="n"/>
      <c r="J3" s="1" t="n"/>
      <c r="K3" s="1" t="n"/>
      <c r="L3" s="1" t="n"/>
      <c r="M3" s="1" t="n"/>
      <c r="N3" s="1" t="n"/>
      <c r="O3" s="1" t="n"/>
      <c r="P3" s="1" t="n"/>
      <c r="Q3" s="1" t="n"/>
      <c r="R3" s="1" t="n"/>
      <c r="S3" s="1" t="n"/>
      <c r="T3" s="1" t="n"/>
      <c r="U3" s="1" t="n"/>
      <c r="V3" s="58">
        <f>SUM(M3:U3)</f>
        <v/>
      </c>
      <c r="W3" s="39">
        <f>V3 - (V3 * (SUBSTITUTE(SUBSTITUTE($W$2, "Optimistic (", ""), "%)", "") / 100))</f>
        <v/>
      </c>
      <c r="X3" s="39">
        <f>V3 + (V3 * (SUBSTITUTE(SUBSTITUTE($X$2, "Pessimistic (", ""), "%)", "") / 100))</f>
        <v/>
      </c>
      <c r="Y3" s="79">
        <f>(W3+(4*V3)+X3)/6</f>
        <v/>
      </c>
      <c r="Z3" s="206" t="n"/>
      <c r="AA3" s="213" t="n"/>
      <c r="AB3" s="213" t="n"/>
      <c r="AC3" s="213" t="n"/>
      <c r="AD3" s="213" t="n"/>
      <c r="AE3" s="200">
        <f>IF($Z3="",0,IF($M3="",0,$M3))</f>
        <v/>
      </c>
      <c r="AF3" s="200">
        <f>IF(OR($Z3="",$N3=""),0,$Z3*5%)</f>
        <v/>
      </c>
      <c r="AG3" s="200">
        <f>IF(OR($Z3="",$O3=""),0,$Z3*10%)</f>
        <v/>
      </c>
      <c r="AH3" s="200">
        <f>IF($Z3="",0,IF(AND($P3="",$Q3=""),($Z3-$AE3-$AF3-$AG3-$AJ3-$AK3-$AL3-$AM3-$AN3),IF($P3="",0,IF($Q3="",($Z3-$AE3-$AF3-$AG3-$AJ3-$AK3-$AL3-$AM3-$AN3),($Z3-$AE3-$AF3-$AG3-$AJ3-$AK3-$AL3-$AM3-$AN3)*40%/(40%+15%)))))</f>
        <v/>
      </c>
      <c r="AI3" s="200">
        <f>IF($Z3="",0,IF(AND($P3="",$Q3=""),0,IF($Q3="",0,IF($P3="",($Z3-$AE3-$AF3-$AG3-$AJ3-$AK3-$AL3-$AM3-$AN3),($Z3-$AE3-$AF3-$AG3-$AJ3-$AK3-$AL3-$AM3-$AN3)*15%/(40%+15%)))))</f>
        <v/>
      </c>
      <c r="AJ3" s="282">
        <f>IF($Z3="",0,$Z3*15%)</f>
        <v/>
      </c>
      <c r="AK3" s="200">
        <f>IF($Z3="",0,IF($R3="",0,$R3))</f>
        <v/>
      </c>
      <c r="AL3" s="200">
        <f>IF(OR($Z3="",$S3=""),0,$Z3*5%)</f>
        <v/>
      </c>
      <c r="AM3" s="200">
        <f>IF(OR($Z3="",$T3=""),0,$Z3*10%)</f>
        <v/>
      </c>
      <c r="AN3" s="200">
        <f>IF($Z3="",0,IF($U3="",0,$U3))</f>
        <v/>
      </c>
    </row>
    <row r="4" ht="18" customHeight="1" s="300">
      <c r="A4" s="1" t="n">
        <v>2</v>
      </c>
      <c r="B4" s="291" t="inlineStr">
        <is>
          <t>Enrichment</t>
        </is>
      </c>
      <c r="C4" s="291" t="inlineStr">
        <is>
          <t>Omni Agent Connector</t>
        </is>
      </c>
      <c r="D4" s="1" t="inlineStr">
        <is>
          <t>Connects to OmniAgent via API for OC related queries</t>
        </is>
      </c>
      <c r="E4" s="251" t="inlineStr">
        <is>
          <t>https://octopusdtlsupport.atlassian.net/browse/O2-1461</t>
        </is>
      </c>
      <c r="F4" s="1" t="inlineStr">
        <is>
          <t>RnD</t>
        </is>
      </c>
      <c r="G4" s="1" t="n"/>
      <c r="H4" s="1" t="n"/>
      <c r="I4" s="1" t="n"/>
      <c r="J4" s="1" t="n"/>
      <c r="K4" s="1" t="n"/>
      <c r="L4" s="1" t="n"/>
      <c r="M4" s="1" t="n"/>
      <c r="N4" s="1" t="n">
        <v>0</v>
      </c>
      <c r="O4" s="163" t="n">
        <v>4</v>
      </c>
      <c r="P4" s="1">
        <f>43-15</f>
        <v/>
      </c>
      <c r="Q4" s="1" t="n">
        <v>5</v>
      </c>
      <c r="R4" s="1" t="n">
        <v>5</v>
      </c>
      <c r="S4" s="1" t="n">
        <v>3</v>
      </c>
      <c r="T4" s="1" t="n">
        <v>5</v>
      </c>
      <c r="U4" s="1" t="n">
        <v>4</v>
      </c>
      <c r="V4" s="58">
        <f>SUM(M4:U4)</f>
        <v/>
      </c>
      <c r="W4" s="39">
        <f>V4 - (V4 * ( 50% ))</f>
        <v/>
      </c>
      <c r="X4" s="39">
        <f>V4 + (V4 * (SUBSTITUTE(SUBSTITUTE($X$2, "Pessimistic (", ""), "%)", "") / 100))</f>
        <v/>
      </c>
      <c r="Y4" s="79">
        <f>(W4+(4*V4)+X4)/6</f>
        <v/>
      </c>
      <c r="Z4" s="201">
        <f>Y4/2</f>
        <v/>
      </c>
      <c r="AA4" s="166" t="n">
        <v>46076</v>
      </c>
      <c r="AB4" s="166" t="n">
        <v>46129</v>
      </c>
      <c r="AC4" s="166" t="n">
        <v>46132</v>
      </c>
      <c r="AD4" s="166" t="n">
        <v>46143</v>
      </c>
      <c r="AE4" s="200">
        <f>IF($Z4="",0,IF($M4="",0,$M4))</f>
        <v/>
      </c>
      <c r="AF4" s="200">
        <f>IF(OR($Z4="",$N4=""),0,$Z4*5%)</f>
        <v/>
      </c>
      <c r="AG4" s="200">
        <f>IF(OR($Z4="",$O4=""),0,$Z4*10%)</f>
        <v/>
      </c>
      <c r="AH4" s="214">
        <f>IF($Z4="",0,IF(AND($P4="",$Q4=""),($Z4-$AE4-$AF4-$AG4-$AJ4-$AK4-$AL4-$AM4-$AN4),IF($P4="",0,IF($Q4="",($Z4-$AE4-$AF4-$AG4-$AJ4-$AK4-$AL4-$AM4-$AN4),($Z4-$AE4-$AF4-$AG4-$AJ4-$AK4-$AL4-$AM4-$AN4)*40%/(40%+15%)))))</f>
        <v/>
      </c>
      <c r="AI4" s="214">
        <f>IF($Z4="",0,IF(AND($P4="",$Q4=""),0,IF($Q4="",0,IF($P4="",($Z4-$AE4-$AF4-$AG4-$AJ4-$AK4-$AL4-$AM4-$AN4),($Z4-$AE4-$AF4-$AG4-$AJ4-$AK4-$AL4-$AM4-$AN4)*15%/(40%+15%)))))</f>
        <v/>
      </c>
      <c r="AJ4" s="284">
        <f>IF($Z4="",0,$Z4*15%)</f>
        <v/>
      </c>
      <c r="AK4" s="200">
        <f>IF($Z4="",0,IF($R4="",0,$R4))</f>
        <v/>
      </c>
      <c r="AL4" s="200">
        <f>IF(OR($Z4="",$S4=""),0,$Z4*5%)</f>
        <v/>
      </c>
      <c r="AM4" s="214">
        <f>IF(OR($Z4="",$T4=""),0,$Z4*10%)</f>
        <v/>
      </c>
      <c r="AN4" s="200">
        <f>IF($Z4="",0,IF($U4="",0,$U4))</f>
        <v/>
      </c>
    </row>
    <row r="5" ht="18" customHeight="1" s="300">
      <c r="A5" s="1" t="n">
        <v>3</v>
      </c>
      <c r="B5" s="290" t="n"/>
      <c r="C5" s="291" t="inlineStr">
        <is>
          <t>Dashboard</t>
        </is>
      </c>
      <c r="D5" s="1" t="inlineStr">
        <is>
          <t>Dashboard level Filtering</t>
        </is>
      </c>
      <c r="E5" s="251" t="inlineStr">
        <is>
          <t>https://octopusdtlsupport.atlassian.net/browse/MN-30</t>
        </is>
      </c>
      <c r="F5" s="1" t="inlineStr">
        <is>
          <t>Impl Team</t>
        </is>
      </c>
      <c r="G5" s="1" t="n"/>
      <c r="H5" s="1" t="n"/>
      <c r="I5" s="1" t="n"/>
      <c r="J5" s="1" t="n"/>
      <c r="K5" s="1" t="n"/>
      <c r="L5" s="1" t="n"/>
      <c r="M5" s="1" t="n"/>
      <c r="N5" s="1" t="n">
        <v>0</v>
      </c>
      <c r="O5" s="1" t="n">
        <v>0</v>
      </c>
      <c r="P5" s="1" t="n">
        <v>10</v>
      </c>
      <c r="Q5" s="1" t="n">
        <v>5</v>
      </c>
      <c r="R5" s="1" t="n">
        <v>5</v>
      </c>
      <c r="S5" s="1" t="n">
        <v>3</v>
      </c>
      <c r="T5" s="1" t="n">
        <v>5</v>
      </c>
      <c r="U5" s="1" t="n">
        <v>2</v>
      </c>
      <c r="V5" s="58">
        <f>SUM(M5:U5)</f>
        <v/>
      </c>
      <c r="W5" s="39">
        <f>V5 - (V5 * ( 50% ))</f>
        <v/>
      </c>
      <c r="X5" s="39">
        <f>V5 + (V5 * (SUBSTITUTE(SUBSTITUTE($X$2, "Pessimistic (", ""), "%)", "") / 100))</f>
        <v/>
      </c>
      <c r="Y5" s="79">
        <f>(W5+(4*V5)+X5)/6</f>
        <v/>
      </c>
      <c r="Z5" s="201">
        <f>Y5/2</f>
        <v/>
      </c>
      <c r="AA5" s="166" t="n">
        <v>46132</v>
      </c>
      <c r="AB5" s="166" t="n">
        <v>46135</v>
      </c>
      <c r="AC5" s="166" t="n">
        <v>46136</v>
      </c>
      <c r="AD5" s="166" t="n">
        <v>46150</v>
      </c>
      <c r="AE5" s="200">
        <f>IF($Z5="",0,IF($M5="",0,$M5))</f>
        <v/>
      </c>
      <c r="AF5" s="200">
        <f>IF(OR($Z5="",$N5=""),0,$Z5*5%)</f>
        <v/>
      </c>
      <c r="AG5" s="200">
        <f>IF(OR($Z5="",$O5=""),0,$Z5*10%)</f>
        <v/>
      </c>
      <c r="AH5" s="200">
        <f>IF($Z5="",0,IF(AND($P5="",$Q5=""),($Z5-$AE5-$AF5-$AG5-$AJ5-$AK5-$AL5-$AM5-$AN5),IF($P5="",0,IF($Q5="",($Z5-$AE5-$AF5-$AG5-$AJ5-$AK5-$AL5-$AM5-$AN5),($Z5-$AE5-$AF5-$AG5-$AJ5-$AK5-$AL5-$AM5-$AN5)*40%/(40%+15%)))))</f>
        <v/>
      </c>
      <c r="AI5" s="200">
        <f>IF($Z5="",0,IF(AND($P5="",$Q5=""),0,IF($Q5="",0,IF($P5="",($Z5-$AE5-$AF5-$AG5-$AJ5-$AK5-$AL5-$AM5-$AN5),($Z5-$AE5-$AF5-$AG5-$AJ5-$AK5-$AL5-$AM5-$AN5)*15%/(40%+15%)))))</f>
        <v/>
      </c>
      <c r="AJ5" s="282">
        <f>IF($Z5="",0,$Z5*15%)</f>
        <v/>
      </c>
      <c r="AK5" s="200">
        <f>IF($Z5="",0,IF($R5="",0,$R5))</f>
        <v/>
      </c>
      <c r="AL5" s="200">
        <f>IF(OR($Z5="",$S5=""),0,$Z5*5%)</f>
        <v/>
      </c>
      <c r="AM5" s="200">
        <f>IF(OR($Z5="",$T5=""),0,$Z5*10%)</f>
        <v/>
      </c>
      <c r="AN5" s="200">
        <f>IF($Z5="",0,IF($U5="",0,$U5))</f>
        <v/>
      </c>
    </row>
    <row r="6" ht="18" customHeight="1" s="300">
      <c r="A6" s="1" t="n">
        <v>4</v>
      </c>
      <c r="B6" s="290" t="n"/>
      <c r="C6" s="290" t="n"/>
      <c r="D6" s="61" t="inlineStr">
        <is>
          <t>Panel level Filtering</t>
        </is>
      </c>
      <c r="E6" s="249" t="inlineStr">
        <is>
          <t>https://octopusdtlsupport.atlassian.net/browse/MN-75</t>
        </is>
      </c>
      <c r="F6" s="1" t="inlineStr">
        <is>
          <t>Impl Team</t>
        </is>
      </c>
      <c r="G6" s="1" t="n"/>
      <c r="H6" s="1" t="n"/>
      <c r="I6" s="1" t="n"/>
      <c r="J6" s="1" t="n"/>
      <c r="K6" s="1" t="n"/>
      <c r="L6" s="1" t="n"/>
      <c r="M6" s="1" t="n"/>
      <c r="N6" s="1" t="n">
        <v>0</v>
      </c>
      <c r="O6" s="1" t="n">
        <v>0</v>
      </c>
      <c r="P6" s="1" t="n">
        <v>10</v>
      </c>
      <c r="Q6" s="1" t="n">
        <v>5</v>
      </c>
      <c r="R6" s="1" t="n">
        <v>5</v>
      </c>
      <c r="S6" s="1" t="n">
        <v>5</v>
      </c>
      <c r="T6" s="1" t="n">
        <v>5</v>
      </c>
      <c r="U6" s="1" t="n">
        <v>2</v>
      </c>
      <c r="V6" s="58">
        <f>SUM(M6:U6)</f>
        <v/>
      </c>
      <c r="W6" s="39">
        <f>V6 - (V6 * ( 50% ))</f>
        <v/>
      </c>
      <c r="X6" s="39">
        <f>V6 + (V6 * (SUBSTITUTE(SUBSTITUTE($X$2, "Pessimistic (", ""), "%)", "") / 100))</f>
        <v/>
      </c>
      <c r="Y6" s="79">
        <f>(W6+(4*V6)+X6)/6</f>
        <v/>
      </c>
      <c r="Z6" s="201">
        <f>Y6/2</f>
        <v/>
      </c>
      <c r="AA6" s="166" t="n">
        <v>46133</v>
      </c>
      <c r="AB6" s="166" t="n">
        <v>46143</v>
      </c>
      <c r="AC6" s="166" t="n">
        <v>46146</v>
      </c>
      <c r="AD6" s="166" t="n">
        <v>46154</v>
      </c>
      <c r="AE6" s="200">
        <f>IF($Z6="",0,IF($M6="",0,$M6))</f>
        <v/>
      </c>
      <c r="AF6" s="200">
        <f>IF(OR($Z6="",$N6=""),0,$Z6*5%)</f>
        <v/>
      </c>
      <c r="AG6" s="200">
        <f>IF(OR($Z6="",$O6=""),0,$Z6*10%)</f>
        <v/>
      </c>
      <c r="AH6" s="200">
        <f>IF($Z6="",0,IF(AND($P6="",$Q6=""),($Z6-$AE6-$AF6-$AG6-$AJ6-$AK6-$AL6-$AM6-$AN6),IF($P6="",0,IF($Q6="",($Z6-$AE6-$AF6-$AG6-$AJ6-$AK6-$AL6-$AM6-$AN6),($Z6-$AE6-$AF6-$AG6-$AJ6-$AK6-$AL6-$AM6-$AN6)*40%/(40%+15%)))))</f>
        <v/>
      </c>
      <c r="AI6" s="200">
        <f>IF($Z6="",0,IF(AND($P6="",$Q6=""),0,IF($Q6="",0,IF($P6="",($Z6-$AE6-$AF6-$AG6-$AJ6-$AK6-$AL6-$AM6-$AN6),($Z6-$AE6-$AF6-$AG6-$AJ6-$AK6-$AL6-$AM6-$AN6)*15%/(40%+15%)))))</f>
        <v/>
      </c>
      <c r="AJ6" s="282">
        <f>IF($Z6="",0,$Z6*15%)</f>
        <v/>
      </c>
      <c r="AK6" s="200">
        <f>IF($Z6="",0,IF($R6="",0,$R6))</f>
        <v/>
      </c>
      <c r="AL6" s="200">
        <f>IF(OR($Z6="",$S6=""),0,$Z6*5%)</f>
        <v/>
      </c>
      <c r="AM6" s="200">
        <f>IF(OR($Z6="",$T6=""),0,$Z6*10%)</f>
        <v/>
      </c>
      <c r="AN6" s="200">
        <f>IF($Z6="",0,IF($U6="",0,$U6))</f>
        <v/>
      </c>
    </row>
    <row r="7" ht="18" customHeight="1" s="300">
      <c r="A7" s="1" t="n">
        <v>5</v>
      </c>
      <c r="B7" s="290" t="n"/>
      <c r="C7" s="290" t="n"/>
      <c r="D7" s="47" t="inlineStr">
        <is>
          <t>Panel Resizing</t>
        </is>
      </c>
      <c r="E7" s="250" t="inlineStr">
        <is>
          <t>https://octopusdtlsupport.atlassian.net/browse/MN-76</t>
        </is>
      </c>
      <c r="F7" s="1" t="inlineStr">
        <is>
          <t>Impl Team</t>
        </is>
      </c>
      <c r="G7" s="1" t="n"/>
      <c r="H7" s="1" t="n"/>
      <c r="I7" s="1" t="n"/>
      <c r="J7" s="1" t="n"/>
      <c r="K7" s="1" t="n"/>
      <c r="L7" s="1" t="n"/>
      <c r="M7" s="1" t="n"/>
      <c r="N7" s="1" t="n">
        <v>0</v>
      </c>
      <c r="O7" s="1" t="n">
        <v>0</v>
      </c>
      <c r="P7" s="1" t="n">
        <v>5</v>
      </c>
      <c r="Q7" s="1" t="n">
        <v>5</v>
      </c>
      <c r="R7" s="1" t="n">
        <v>5</v>
      </c>
      <c r="S7" s="1" t="n">
        <v>5</v>
      </c>
      <c r="T7" s="1" t="n">
        <v>5</v>
      </c>
      <c r="U7" s="1" t="n">
        <v>2</v>
      </c>
      <c r="V7" s="58">
        <f>SUM(M7:U7)</f>
        <v/>
      </c>
      <c r="W7" s="39">
        <f>V7 - (V7 * ( 50% ))</f>
        <v/>
      </c>
      <c r="X7" s="39">
        <f>V7 + (V7 * (SUBSTITUTE(SUBSTITUTE($X$2, "Pessimistic (", ""), "%)", "") / 100))</f>
        <v/>
      </c>
      <c r="Y7" s="79">
        <f>(W7+(4*V7)+X7)/6</f>
        <v/>
      </c>
      <c r="Z7" s="201">
        <f>Y7/2</f>
        <v/>
      </c>
      <c r="AA7" s="166" t="n">
        <v>46141</v>
      </c>
      <c r="AB7" s="166" t="n">
        <v>46148</v>
      </c>
      <c r="AC7" s="166" t="n">
        <v>46149</v>
      </c>
      <c r="AD7" s="166" t="n">
        <v>46164</v>
      </c>
      <c r="AE7" s="200">
        <f>IF($Z7="",0,IF($M7="",0,$M7))</f>
        <v/>
      </c>
      <c r="AF7" s="200">
        <f>IF(OR($Z7="",$N7=""),0,$Z7*5%)</f>
        <v/>
      </c>
      <c r="AG7" s="200">
        <f>IF(OR($Z7="",$O7=""),0,$Z7*10%)</f>
        <v/>
      </c>
      <c r="AH7" s="200">
        <f>IF($Z7="",0,IF(AND($P7="",$Q7=""),($Z7-$AE7-$AF7-$AG7-$AJ7-$AK7-$AL7-$AM7-$AN7),IF($P7="",0,IF($Q7="",($Z7-$AE7-$AF7-$AG7-$AJ7-$AK7-$AL7-$AM7-$AN7),($Z7-$AE7-$AF7-$AG7-$AJ7-$AK7-$AL7-$AM7-$AN7)*40%/(40%+15%)))))</f>
        <v/>
      </c>
      <c r="AI7" s="200">
        <f>IF($Z7="",0,IF(AND($P7="",$Q7=""),0,IF($Q7="",0,IF($P7="",($Z7-$AE7-$AF7-$AG7-$AJ7-$AK7-$AL7-$AM7-$AN7),($Z7-$AE7-$AF7-$AG7-$AJ7-$AK7-$AL7-$AM7-$AN7)*15%/(40%+15%)))))</f>
        <v/>
      </c>
      <c r="AJ7" s="282">
        <f>IF($Z7="",0,$Z7*15%)</f>
        <v/>
      </c>
      <c r="AK7" s="200">
        <f>IF($Z7="",0,IF($R7="",0,$R7))</f>
        <v/>
      </c>
      <c r="AL7" s="200">
        <f>IF(OR($Z7="",$S7=""),0,$Z7*5%)</f>
        <v/>
      </c>
      <c r="AM7" s="200">
        <f>IF(OR($Z7="",$T7=""),0,$Z7*10%)</f>
        <v/>
      </c>
      <c r="AN7" s="200">
        <f>IF($Z7="",0,IF($U7="",0,$U7))</f>
        <v/>
      </c>
    </row>
    <row r="8" ht="18" customHeight="1" s="300">
      <c r="A8" s="1" t="n">
        <v>6</v>
      </c>
      <c r="B8" s="290" t="n"/>
      <c r="C8" s="290" t="n"/>
      <c r="D8" s="47" t="inlineStr">
        <is>
          <t>Auto Dashboard sharing</t>
        </is>
      </c>
      <c r="E8" s="250" t="inlineStr">
        <is>
          <t>https://octopusdtlsupport.atlassian.net/browse/MN-77</t>
        </is>
      </c>
      <c r="F8" s="1" t="inlineStr">
        <is>
          <t>Impl Team</t>
        </is>
      </c>
      <c r="G8" s="1" t="n"/>
      <c r="H8" s="1" t="n"/>
      <c r="I8" s="1" t="n"/>
      <c r="J8" s="1" t="n"/>
      <c r="K8" s="1" t="n"/>
      <c r="L8" s="1" t="n"/>
      <c r="M8" s="1" t="n"/>
      <c r="N8" s="1" t="n">
        <v>0</v>
      </c>
      <c r="O8" s="1" t="n">
        <v>0</v>
      </c>
      <c r="P8" s="1" t="n">
        <v>10</v>
      </c>
      <c r="Q8" s="1" t="n">
        <v>5</v>
      </c>
      <c r="R8" s="1" t="n">
        <v>5</v>
      </c>
      <c r="S8" s="1" t="n">
        <v>5</v>
      </c>
      <c r="T8" s="1" t="n">
        <v>5</v>
      </c>
      <c r="U8" s="1" t="n">
        <v>2</v>
      </c>
      <c r="V8" s="58">
        <f>SUM(M8:U8)</f>
        <v/>
      </c>
      <c r="W8" s="39">
        <f>V8 - (V8 * ( 50% ))</f>
        <v/>
      </c>
      <c r="X8" s="39">
        <f>V8 + (V8 * (SUBSTITUTE(SUBSTITUTE($X$2, "Pessimistic (", ""), "%)", "") / 100))</f>
        <v/>
      </c>
      <c r="Y8" s="79">
        <f>(W8+(4*V8)+X8)/6</f>
        <v/>
      </c>
      <c r="Z8" s="201">
        <f>Y8/2</f>
        <v/>
      </c>
      <c r="AA8" s="166" t="n">
        <v>46146</v>
      </c>
      <c r="AB8" s="166" t="n">
        <v>46146</v>
      </c>
      <c r="AC8" s="166" t="n">
        <v>46147</v>
      </c>
      <c r="AD8" s="166" t="n">
        <v>46164</v>
      </c>
      <c r="AE8" s="200">
        <f>IF($Z8="",0,IF($M8="",0,$M8))</f>
        <v/>
      </c>
      <c r="AF8" s="200">
        <f>IF(OR($Z8="",$N8=""),0,$Z8*5%)</f>
        <v/>
      </c>
      <c r="AG8" s="200">
        <f>IF(OR($Z8="",$O8=""),0,$Z8*10%)</f>
        <v/>
      </c>
      <c r="AH8" s="200">
        <f>IF($Z8="",0,IF(AND($P8="",$Q8=""),($Z8-$AE8-$AF8-$AG8-$AJ8-$AK8-$AL8-$AM8-$AN8),IF($P8="",0,IF($Q8="",($Z8-$AE8-$AF8-$AG8-$AJ8-$AK8-$AL8-$AM8-$AN8),($Z8-$AE8-$AF8-$AG8-$AJ8-$AK8-$AL8-$AM8-$AN8)*40%/(40%+15%)))))</f>
        <v/>
      </c>
      <c r="AI8" s="200">
        <f>IF($Z8="",0,IF(AND($P8="",$Q8=""),0,IF($Q8="",0,IF($P8="",($Z8-$AE8-$AF8-$AG8-$AJ8-$AK8-$AL8-$AM8-$AN8),($Z8-$AE8-$AF8-$AG8-$AJ8-$AK8-$AL8-$AM8-$AN8)*15%/(40%+15%)))))</f>
        <v/>
      </c>
      <c r="AJ8" s="282">
        <f>IF($Z8="",0,$Z8*15%)</f>
        <v/>
      </c>
      <c r="AK8" s="200">
        <f>IF($Z8="",0,IF($R8="",0,$R8))</f>
        <v/>
      </c>
      <c r="AL8" s="200">
        <f>IF(OR($Z8="",$S8=""),0,$Z8*5%)</f>
        <v/>
      </c>
      <c r="AM8" s="200">
        <f>IF(OR($Z8="",$T8=""),0,$Z8*10%)</f>
        <v/>
      </c>
      <c r="AN8" s="200">
        <f>IF($Z8="",0,IF($U8="",0,$U8))</f>
        <v/>
      </c>
    </row>
    <row r="9" ht="18" customHeight="1" s="300">
      <c r="A9" s="1" t="n"/>
      <c r="B9" s="290" t="n"/>
      <c r="C9" s="288" t="n"/>
      <c r="D9" s="47" t="inlineStr">
        <is>
          <t>Text Overlap in Graphs (x-axis)</t>
        </is>
      </c>
      <c r="E9" s="256" t="inlineStr">
        <is>
          <t>https://octopusdtlsupport.atlassian.net/browse/MN-153</t>
        </is>
      </c>
      <c r="F9" s="1" t="n"/>
      <c r="G9" s="1" t="n"/>
      <c r="H9" s="1" t="n"/>
      <c r="I9" s="1" t="n"/>
      <c r="J9" s="1" t="n"/>
      <c r="K9" s="1" t="n"/>
      <c r="L9" s="1" t="n"/>
      <c r="M9" s="1" t="n"/>
      <c r="N9" s="1" t="n"/>
      <c r="O9" s="1" t="n"/>
      <c r="P9" s="1" t="n"/>
      <c r="Q9" s="1" t="n"/>
      <c r="R9" s="1" t="n"/>
      <c r="S9" s="1" t="n"/>
      <c r="T9" s="1" t="n"/>
      <c r="U9" s="1" t="n"/>
      <c r="V9" s="58">
        <f>SUM(M9:U9)</f>
        <v/>
      </c>
      <c r="W9" s="39">
        <f>V9 - (V9 * ( 50% ))</f>
        <v/>
      </c>
      <c r="X9" s="39">
        <f>V9 + (V9 * (SUBSTITUTE(SUBSTITUTE($X$2, "Pessimistic (", ""), "%)", "") / 100))</f>
        <v/>
      </c>
      <c r="Y9" s="79" t="n">
        <v>15</v>
      </c>
      <c r="Z9" s="201" t="n">
        <v>7</v>
      </c>
      <c r="AA9" s="166" t="n">
        <v>46128</v>
      </c>
      <c r="AB9" s="166" t="n">
        <v>46129</v>
      </c>
      <c r="AC9" s="166" t="n">
        <v>46132</v>
      </c>
      <c r="AD9" s="223" t="n">
        <v>46134</v>
      </c>
      <c r="AE9" s="200">
        <f>IF($Z9="",0,IF($M9="",0,$M9))</f>
        <v/>
      </c>
      <c r="AF9" s="200">
        <f>IF(OR($Z9="",$N9=""),0,$Z9*5%)</f>
        <v/>
      </c>
      <c r="AG9" s="200">
        <f>IF(OR($Z9="",$O9=""),0,$Z9*10%)</f>
        <v/>
      </c>
      <c r="AH9" s="200">
        <f>IF($Z9="",0,IF(AND($P9="",$Q9=""),($Z9-$AE9-$AF9-$AG9-$AJ9-$AK9-$AL9-$AM9-$AN9),IF($P9="",0,IF($Q9="",($Z9-$AE9-$AF9-$AG9-$AJ9-$AK9-$AL9-$AM9-$AN9),($Z9-$AE9-$AF9-$AG9-$AJ9-$AK9-$AL9-$AM9-$AN9)*40%/(40%+15%)))))</f>
        <v/>
      </c>
      <c r="AI9" s="200">
        <f>IF($Z9="",0,IF(AND($P9="",$Q9=""),0,IF($Q9="",0,IF($P9="",($Z9-$AE9-$AF9-$AG9-$AJ9-$AK9-$AL9-$AM9-$AN9),($Z9-$AE9-$AF9-$AG9-$AJ9-$AK9-$AL9-$AM9-$AN9)*15%/(40%+15%)))))</f>
        <v/>
      </c>
      <c r="AJ9" s="282">
        <f>IF($Z9="",0,$Z9*15%)</f>
        <v/>
      </c>
      <c r="AK9" s="200">
        <f>IF($Z9="",0,IF($R9="",0,$R9))</f>
        <v/>
      </c>
      <c r="AL9" s="200">
        <f>IF(OR($Z9="",$S9=""),0,$Z9*5%)</f>
        <v/>
      </c>
      <c r="AM9" s="200">
        <f>IF(OR($Z9="",$T9=""),0,$Z9*10%)</f>
        <v/>
      </c>
      <c r="AN9" s="200">
        <f>IF($Z9="",0,IF($U9="",0,$U9))</f>
        <v/>
      </c>
    </row>
    <row r="10" ht="18" customHeight="1" s="300">
      <c r="A10" s="1" t="n">
        <v>7</v>
      </c>
      <c r="B10" s="290" t="n"/>
      <c r="C10" s="291" t="inlineStr">
        <is>
          <t>DataSet</t>
        </is>
      </c>
      <c r="D10" s="26" t="inlineStr">
        <is>
          <t>Auto Dataset Selection</t>
        </is>
      </c>
      <c r="E10" s="250" t="inlineStr">
        <is>
          <t>https://octopusdtlsupport.atlassian.net/browse/MN-29</t>
        </is>
      </c>
      <c r="F10" s="1" t="inlineStr">
        <is>
          <t>Impl Team</t>
        </is>
      </c>
      <c r="G10" s="1" t="n"/>
      <c r="H10" s="1" t="n"/>
      <c r="I10" s="1" t="n"/>
      <c r="J10" s="1" t="n"/>
      <c r="K10" s="1" t="n"/>
      <c r="L10" s="1" t="n"/>
      <c r="M10" s="1" t="n"/>
      <c r="N10" s="1" t="n"/>
      <c r="O10" s="1" t="n"/>
      <c r="P10" s="1" t="n">
        <v>13</v>
      </c>
      <c r="Q10" s="1" t="n">
        <v>5</v>
      </c>
      <c r="R10" s="1" t="n">
        <v>3</v>
      </c>
      <c r="S10" s="1" t="n">
        <v>3</v>
      </c>
      <c r="T10" s="1" t="n">
        <v>3</v>
      </c>
      <c r="U10" s="1" t="n">
        <v>2</v>
      </c>
      <c r="V10" s="58">
        <f>SUM(M10:U10)</f>
        <v/>
      </c>
      <c r="W10" s="39">
        <f>V10 - (V10 * ( 50% ))</f>
        <v/>
      </c>
      <c r="X10" s="39">
        <f>V10 + (V10 * (SUBSTITUTE(SUBSTITUTE($X$2, "Pessimistic (", ""), "%)", "") / 100))</f>
        <v/>
      </c>
      <c r="Y10" s="79">
        <f>(W10+(4*V10)+X10)/6</f>
        <v/>
      </c>
      <c r="Z10" s="201">
        <f>Y10/2</f>
        <v/>
      </c>
      <c r="AA10" s="166" t="n">
        <v>46143</v>
      </c>
      <c r="AB10" s="166" t="n">
        <v>46156</v>
      </c>
      <c r="AC10" s="166" t="n">
        <v>46157</v>
      </c>
      <c r="AD10" s="166" t="n">
        <v>46164</v>
      </c>
      <c r="AE10" s="200">
        <f>IF($Z10="",0,IF($M10="",0,$M10))</f>
        <v/>
      </c>
      <c r="AF10" s="200">
        <f>IF(OR($Z10="",$N10=""),0,$Z10*5%)</f>
        <v/>
      </c>
      <c r="AG10" s="200">
        <f>IF(OR($Z10="",$O10=""),0,$Z10*10%)</f>
        <v/>
      </c>
      <c r="AH10" s="200">
        <f>IF($Z10="",0,IF(AND($P10="",$Q10=""),($Z10-$AE10-$AF10-$AG10-$AJ10-$AK10-$AL10-$AM10-$AN10),IF($P10="",0,IF($Q10="",($Z10-$AE10-$AF10-$AG10-$AJ10-$AK10-$AL10-$AM10-$AN10),($Z10-$AE10-$AF10-$AG10-$AJ10-$AK10-$AL10-$AM10-$AN10)*40%/(40%+15%)))))</f>
        <v/>
      </c>
      <c r="AI10" s="200">
        <f>IF($Z10="",0,IF(AND($P10="",$Q10=""),0,IF($Q10="",0,IF($P10="",($Z10-$AE10-$AF10-$AG10-$AJ10-$AK10-$AL10-$AM10-$AN10),($Z10-$AE10-$AF10-$AG10-$AJ10-$AK10-$AL10-$AM10-$AN10)*15%/(40%+15%)))))</f>
        <v/>
      </c>
      <c r="AJ10" s="282">
        <f>IF($Z10="",0,$Z10*15%)</f>
        <v/>
      </c>
      <c r="AK10" s="200">
        <f>IF($Z10="",0,IF($R10="",0,$R10))</f>
        <v/>
      </c>
      <c r="AL10" s="200">
        <f>IF(OR($Z10="",$S10=""),0,$Z10*5%)</f>
        <v/>
      </c>
      <c r="AM10" s="200">
        <f>IF(OR($Z10="",$T10=""),0,$Z10*10%)</f>
        <v/>
      </c>
      <c r="AN10" s="200">
        <f>IF($Z10="",0,IF($U10="",0,$U10))</f>
        <v/>
      </c>
    </row>
    <row r="11" ht="18" customHeight="1" s="300">
      <c r="A11" s="1" t="n">
        <v>8</v>
      </c>
      <c r="B11" s="290" t="n"/>
      <c r="C11" s="288" t="n"/>
      <c r="D11" s="26" t="inlineStr">
        <is>
          <t xml:space="preserve">Advanced Multiple Dataset </t>
        </is>
      </c>
      <c r="E11" s="250" t="inlineStr">
        <is>
          <t>https://octopusdtlsupport.atlassian.net/browse/MN-32</t>
        </is>
      </c>
      <c r="F11" s="1" t="inlineStr">
        <is>
          <t>Impl Team</t>
        </is>
      </c>
      <c r="G11" s="1" t="n"/>
      <c r="H11" s="1" t="n"/>
      <c r="I11" s="1" t="n"/>
      <c r="J11" s="1" t="n"/>
      <c r="K11" s="1" t="n"/>
      <c r="L11" s="1" t="n"/>
      <c r="M11" s="1" t="n"/>
      <c r="N11" s="1" t="n"/>
      <c r="O11" s="1" t="n"/>
      <c r="P11" s="1" t="n">
        <v>51</v>
      </c>
      <c r="Q11" s="1" t="n">
        <v>10</v>
      </c>
      <c r="R11" s="1" t="n">
        <v>5</v>
      </c>
      <c r="S11" s="1" t="n">
        <v>5</v>
      </c>
      <c r="T11" s="1" t="n">
        <v>2</v>
      </c>
      <c r="U11" s="1" t="n">
        <v>3</v>
      </c>
      <c r="V11" s="58">
        <f>SUM(M11:U11)</f>
        <v/>
      </c>
      <c r="W11" s="39">
        <f>V11 - (V11 * ( 50% ))</f>
        <v/>
      </c>
      <c r="X11" s="39">
        <f>V11 + (V11 * (SUBSTITUTE(SUBSTITUTE($X$2, "Pessimistic (", ""), "%)", "") / 100))</f>
        <v/>
      </c>
      <c r="Y11" s="79">
        <f>(W11+(4*V11)+X11)/6</f>
        <v/>
      </c>
      <c r="Z11" s="201">
        <f>Y11/2</f>
        <v/>
      </c>
      <c r="AA11" s="166" t="n">
        <v>46161</v>
      </c>
      <c r="AB11" s="166" t="n">
        <v>46202</v>
      </c>
      <c r="AC11" s="166" t="n">
        <v>46203</v>
      </c>
      <c r="AD11" s="166" t="n">
        <v>46210</v>
      </c>
      <c r="AE11" s="200">
        <f>IF($Z11="",0,IF($M11="",0,$M11))</f>
        <v/>
      </c>
      <c r="AF11" s="200">
        <f>IF(OR($Z11="",$N11=""),0,$Z11*5%)</f>
        <v/>
      </c>
      <c r="AG11" s="200">
        <f>IF(OR($Z11="",$O11=""),0,$Z11*10%)</f>
        <v/>
      </c>
      <c r="AH11" s="200">
        <f>IF($Z11="",0,IF(AND($P11="",$Q11=""),($Z11-$AE11-$AF11-$AG11-$AJ11-$AK11-$AL11-$AM11-$AN11),IF($P11="",0,IF($Q11="",($Z11-$AE11-$AF11-$AG11-$AJ11-$AK11-$AL11-$AM11-$AN11),($Z11-$AE11-$AF11-$AG11-$AJ11-$AK11-$AL11-$AM11-$AN11)*40%/(40%+15%)))))</f>
        <v/>
      </c>
      <c r="AI11" s="200">
        <f>IF($Z11="",0,IF(AND($P11="",$Q11=""),0,IF($Q11="",0,IF($P11="",($Z11-$AE11-$AF11-$AG11-$AJ11-$AK11-$AL11-$AM11-$AN11),($Z11-$AE11-$AF11-$AG11-$AJ11-$AK11-$AL11-$AM11-$AN11)*15%/(40%+15%)))))</f>
        <v/>
      </c>
      <c r="AJ11" s="282">
        <f>IF($Z11="",0,$Z11*15%)</f>
        <v/>
      </c>
      <c r="AK11" s="200">
        <f>IF($Z11="",0,IF($R11="",0,$R11))</f>
        <v/>
      </c>
      <c r="AL11" s="200">
        <f>IF(OR($Z11="",$S11=""),0,$Z11*5%)</f>
        <v/>
      </c>
      <c r="AM11" s="200">
        <f>IF(OR($Z11="",$T11=""),0,$Z11*10%)</f>
        <v/>
      </c>
      <c r="AN11" s="200">
        <f>IF($Z11="",0,IF($U11="",0,$U11))</f>
        <v/>
      </c>
    </row>
    <row r="12" ht="18" customHeight="1" s="300">
      <c r="A12" s="1" t="n">
        <v>9</v>
      </c>
      <c r="B12" s="290" t="n"/>
      <c r="C12" s="23" t="inlineStr">
        <is>
          <t>Sharing</t>
        </is>
      </c>
      <c r="D12" s="47" t="inlineStr">
        <is>
          <t>Group Chat</t>
        </is>
      </c>
      <c r="E12" s="250" t="inlineStr">
        <is>
          <t>https://octopusdtlsupport.atlassian.net/browse/MN-31</t>
        </is>
      </c>
      <c r="F12" s="1" t="inlineStr">
        <is>
          <t>Impl Team</t>
        </is>
      </c>
      <c r="G12" s="1" t="n"/>
      <c r="H12" s="1" t="n"/>
      <c r="I12" s="1" t="n"/>
      <c r="J12" s="1" t="n"/>
      <c r="K12" s="1" t="n"/>
      <c r="L12" s="1" t="n"/>
      <c r="M12" s="1" t="n">
        <v>0</v>
      </c>
      <c r="N12" s="1" t="n">
        <v>0</v>
      </c>
      <c r="O12" s="1" t="n">
        <v>3</v>
      </c>
      <c r="P12" s="1" t="n">
        <v>50</v>
      </c>
      <c r="Q12" s="1" t="n">
        <v>10</v>
      </c>
      <c r="R12" s="1" t="n">
        <v>5</v>
      </c>
      <c r="S12" s="1" t="n">
        <v>5</v>
      </c>
      <c r="T12" s="1" t="n">
        <v>10</v>
      </c>
      <c r="U12" s="1" t="n">
        <v>3</v>
      </c>
      <c r="V12" s="58">
        <f>SUM(M12:U12)</f>
        <v/>
      </c>
      <c r="W12" s="39">
        <f>V12 - (V12 * ( 50% ))</f>
        <v/>
      </c>
      <c r="X12" s="39">
        <f>V12 + (V12 * (SUBSTITUTE(SUBSTITUTE($X$2, "Pessimistic (", ""), "%)", "") / 100))</f>
        <v/>
      </c>
      <c r="Y12" s="79">
        <f>(W12+(4*V12)+X12)/6</f>
        <v/>
      </c>
      <c r="Z12" s="201">
        <f>Y12/2</f>
        <v/>
      </c>
      <c r="AA12" s="166" t="n">
        <v>46204</v>
      </c>
      <c r="AB12" s="166" t="n">
        <v>46247</v>
      </c>
      <c r="AC12" s="166" t="n">
        <v>46251</v>
      </c>
      <c r="AD12" s="166" t="n">
        <v>46260</v>
      </c>
      <c r="AE12" s="200">
        <f>IF($Z12="",0,IF($M12="",0,$M12))</f>
        <v/>
      </c>
      <c r="AF12" s="200">
        <f>IF(OR($Z12="",$N12=""),0,$Z12*5%)</f>
        <v/>
      </c>
      <c r="AG12" s="200">
        <f>IF(OR($Z12="",$O12=""),0,$Z12*10%)</f>
        <v/>
      </c>
      <c r="AH12" s="200">
        <f>IF($Z12="",0,IF(AND($P12="",$Q12=""),($Z12-$AE12-$AF12-$AG12-$AJ12-$AK12-$AL12-$AM12-$AN12),IF($P12="",0,IF($Q12="",($Z12-$AE12-$AF12-$AG12-$AJ12-$AK12-$AL12-$AM12-$AN12),($Z12-$AE12-$AF12-$AG12-$AJ12-$AK12-$AL12-$AM12-$AN12)*40%/(40%+15%)))))</f>
        <v/>
      </c>
      <c r="AI12" s="200">
        <f>IF($Z12="",0,IF(AND($P12="",$Q12=""),0,IF($Q12="",0,IF($P12="",($Z12-$AE12-$AF12-$AG12-$AJ12-$AK12-$AL12-$AM12-$AN12),($Z12-$AE12-$AF12-$AG12-$AJ12-$AK12-$AL12-$AM12-$AN12)*15%/(40%+15%)))))</f>
        <v/>
      </c>
      <c r="AJ12" s="282">
        <f>IF($Z12="",0,$Z12*15%)</f>
        <v/>
      </c>
      <c r="AK12" s="200">
        <f>IF($Z12="",0,IF($R12="",0,$R12))</f>
        <v/>
      </c>
      <c r="AL12" s="200">
        <f>IF(OR($Z12="",$S12=""),0,$Z12*5%)</f>
        <v/>
      </c>
      <c r="AM12" s="200">
        <f>IF(OR($Z12="",$T12=""),0,$Z12*10%)</f>
        <v/>
      </c>
      <c r="AN12" s="200">
        <f>IF($Z12="",0,IF($U12="",0,$U12))</f>
        <v/>
      </c>
    </row>
    <row r="13" ht="18" customHeight="1" s="300">
      <c r="A13" s="1" t="n">
        <v>10</v>
      </c>
      <c r="B13" s="288" t="n"/>
      <c r="C13" s="23" t="inlineStr">
        <is>
          <t>Communication Channels</t>
        </is>
      </c>
      <c r="D13" s="193" t="inlineStr">
        <is>
          <t>Extend quering to enterprise communication channels</t>
        </is>
      </c>
      <c r="E13" s="193" t="n"/>
      <c r="F13" s="1" t="inlineStr">
        <is>
          <t>Impl Team</t>
        </is>
      </c>
      <c r="G13" s="1" t="n"/>
      <c r="H13" s="1" t="n"/>
      <c r="I13" s="1" t="n"/>
      <c r="J13" s="1" t="n"/>
      <c r="K13" s="1" t="n"/>
      <c r="L13" s="1" t="n"/>
      <c r="M13" s="1" t="n"/>
      <c r="N13" s="1" t="n"/>
      <c r="O13" s="1" t="n"/>
      <c r="P13" s="1" t="n"/>
      <c r="Q13" s="1" t="n"/>
      <c r="R13" s="1" t="n"/>
      <c r="S13" s="1" t="n"/>
      <c r="T13" s="1" t="n"/>
      <c r="U13" s="1" t="n"/>
      <c r="V13" s="58">
        <f>SUM(M13:U13)</f>
        <v/>
      </c>
      <c r="W13" s="39">
        <f>V13 - (V13 * ( 50% ))</f>
        <v/>
      </c>
      <c r="X13" s="39">
        <f>V13 + (V13 * (SUBSTITUTE(SUBSTITUTE($X$2, "Pessimistic (", ""), "%)", "") / 100))</f>
        <v/>
      </c>
      <c r="Y13" s="79">
        <f>(W13+(4*V13)+X13)/6</f>
        <v/>
      </c>
      <c r="Z13" s="201">
        <f>Y13/2</f>
        <v/>
      </c>
      <c r="AA13" s="166" t="n"/>
      <c r="AB13" s="166" t="n"/>
      <c r="AC13" s="166" t="n"/>
      <c r="AD13" s="166" t="n"/>
      <c r="AE13" s="200">
        <f>IF($Z13="",0,IF($M13="",0,$M13))</f>
        <v/>
      </c>
      <c r="AF13" s="200">
        <f>IF(OR($Z13="",$N13=""),0,$Z13*5%)</f>
        <v/>
      </c>
      <c r="AG13" s="200">
        <f>IF(OR($Z13="",$O13=""),0,$Z13*10%)</f>
        <v/>
      </c>
      <c r="AH13" s="200">
        <f>IF($Z13="",0,IF(AND($P13="",$Q13=""),($Z13-$AE13-$AF13-$AG13-$AJ13-$AK13-$AL13-$AM13-$AN13),IF($P13="",0,IF($Q13="",($Z13-$AE13-$AF13-$AG13-$AJ13-$AK13-$AL13-$AM13-$AN13),($Z13-$AE13-$AF13-$AG13-$AJ13-$AK13-$AL13-$AM13-$AN13)*40%/(40%+15%)))))</f>
        <v/>
      </c>
      <c r="AI13" s="200">
        <f>IF($Z13="",0,IF(AND($P13="",$Q13=""),0,IF($Q13="",0,IF($P13="",($Z13-$AE13-$AF13-$AG13-$AJ13-$AK13-$AL13-$AM13-$AN13),($Z13-$AE13-$AF13-$AG13-$AJ13-$AK13-$AL13-$AM13-$AN13)*15%/(40%+15%)))))</f>
        <v/>
      </c>
      <c r="AJ13" s="282">
        <f>IF($Z13="",0,$Z13*15%)</f>
        <v/>
      </c>
      <c r="AK13" s="200">
        <f>IF($Z13="",0,IF($R13="",0,$R13))</f>
        <v/>
      </c>
      <c r="AL13" s="200">
        <f>IF(OR($Z13="",$S13=""),0,$Z13*5%)</f>
        <v/>
      </c>
      <c r="AM13" s="200">
        <f>IF(OR($Z13="",$T13=""),0,$Z13*10%)</f>
        <v/>
      </c>
      <c r="AN13" s="200">
        <f>IF($Z13="",0,IF($U13="",0,$U13))</f>
        <v/>
      </c>
    </row>
    <row r="14" ht="18" customHeight="1" s="300">
      <c r="A14" s="1" t="n">
        <v>11</v>
      </c>
      <c r="B14" s="291" t="inlineStr">
        <is>
          <t>Output</t>
        </is>
      </c>
      <c r="C14" s="287" t="n"/>
      <c r="D14" s="26" t="n"/>
      <c r="E14" s="26" t="n"/>
      <c r="F14" s="1" t="n"/>
      <c r="G14" s="1" t="n"/>
      <c r="H14" s="1" t="n"/>
      <c r="I14" s="1" t="n"/>
      <c r="J14" s="1" t="n"/>
      <c r="K14" s="1" t="n"/>
      <c r="L14" s="1" t="n"/>
      <c r="M14" s="1" t="n"/>
      <c r="N14" s="1" t="n"/>
      <c r="O14" s="1" t="n"/>
      <c r="P14" s="1" t="n"/>
      <c r="Q14" s="1" t="n"/>
      <c r="R14" s="1" t="n"/>
      <c r="S14" s="1" t="n"/>
      <c r="T14" s="1" t="n"/>
      <c r="U14" s="1" t="n"/>
      <c r="V14" s="58">
        <f>SUM(M14:U14)</f>
        <v/>
      </c>
      <c r="W14" s="39">
        <f>V14 - (V14 * ( 50% ))</f>
        <v/>
      </c>
      <c r="X14" s="39">
        <f>V14 + (V14 * (SUBSTITUTE(SUBSTITUTE($X$2, "Pessimistic (", ""), "%)", "") / 100))</f>
        <v/>
      </c>
      <c r="Y14" s="79">
        <f>(W14+(4*V14)+X14)/6</f>
        <v/>
      </c>
      <c r="Z14" s="201">
        <f>Y14/2</f>
        <v/>
      </c>
      <c r="AA14" s="166" t="n"/>
      <c r="AB14" s="166" t="n"/>
      <c r="AC14" s="166" t="n"/>
      <c r="AD14" s="166" t="n"/>
      <c r="AE14" s="200">
        <f>IF($Z14="",0,IF($M14="",0,$M14))</f>
        <v/>
      </c>
      <c r="AF14" s="200">
        <f>IF(OR($Z14="",$N14=""),0,$Z14*5%)</f>
        <v/>
      </c>
      <c r="AG14" s="200">
        <f>IF(OR($Z14="",$O14=""),0,$Z14*10%)</f>
        <v/>
      </c>
      <c r="AH14" s="200">
        <f>IF($Z14="",0,IF(AND($P14="",$Q14=""),($Z14-$AE14-$AF14-$AG14-$AJ14-$AK14-$AL14-$AM14-$AN14),IF($P14="",0,IF($Q14="",($Z14-$AE14-$AF14-$AG14-$AJ14-$AK14-$AL14-$AM14-$AN14),($Z14-$AE14-$AF14-$AG14-$AJ14-$AK14-$AL14-$AM14-$AN14)*40%/(40%+15%)))))</f>
        <v/>
      </c>
      <c r="AI14" s="200">
        <f>IF($Z14="",0,IF(AND($P14="",$Q14=""),0,IF($Q14="",0,IF($P14="",($Z14-$AE14-$AF14-$AG14-$AJ14-$AK14-$AL14-$AM14-$AN14),($Z14-$AE14-$AF14-$AG14-$AJ14-$AK14-$AL14-$AM14-$AN14)*15%/(40%+15%)))))</f>
        <v/>
      </c>
      <c r="AJ14" s="282">
        <f>IF($Z14="",0,$Z14*15%)</f>
        <v/>
      </c>
      <c r="AK14" s="200">
        <f>IF($Z14="",0,IF($R14="",0,$R14))</f>
        <v/>
      </c>
      <c r="AL14" s="200">
        <f>IF(OR($Z14="",$S14=""),0,$Z14*5%)</f>
        <v/>
      </c>
      <c r="AM14" s="200">
        <f>IF(OR($Z14="",$T14=""),0,$Z14*10%)</f>
        <v/>
      </c>
      <c r="AN14" s="200">
        <f>IF($Z14="",0,IF($U14="",0,$U14))</f>
        <v/>
      </c>
    </row>
    <row r="15" ht="18" customHeight="1" s="300">
      <c r="A15" s="1" t="n">
        <v>12</v>
      </c>
      <c r="B15" s="291" t="inlineStr">
        <is>
          <t>Administration</t>
        </is>
      </c>
      <c r="C15" s="291" t="inlineStr">
        <is>
          <t>URM</t>
        </is>
      </c>
      <c r="D15" s="185" t="inlineStr">
        <is>
          <t>Password Reset</t>
        </is>
      </c>
      <c r="E15" s="251" t="inlineStr">
        <is>
          <t>https://octopusdtlsupport.atlassian.net/browse/MN-53</t>
        </is>
      </c>
      <c r="F15" s="1" t="inlineStr">
        <is>
          <t>RnD</t>
        </is>
      </c>
      <c r="G15" s="1" t="n"/>
      <c r="H15" s="1" t="n"/>
      <c r="I15" s="1" t="n"/>
      <c r="J15" s="1" t="n"/>
      <c r="K15" s="1" t="n"/>
      <c r="L15" s="1" t="n"/>
      <c r="M15" s="1" t="n">
        <v>0</v>
      </c>
      <c r="N15" s="1" t="n">
        <v>0</v>
      </c>
      <c r="O15" s="1" t="n">
        <v>0</v>
      </c>
      <c r="P15" s="1" t="n">
        <v>2</v>
      </c>
      <c r="Q15" s="1" t="n">
        <v>3</v>
      </c>
      <c r="R15" s="1" t="n">
        <v>1</v>
      </c>
      <c r="S15" s="1" t="n">
        <v>2</v>
      </c>
      <c r="T15" s="1" t="n">
        <v>2</v>
      </c>
      <c r="U15" s="1" t="n">
        <v>1</v>
      </c>
      <c r="V15" s="58">
        <f>SUM(M15:U15)</f>
        <v/>
      </c>
      <c r="W15" s="39">
        <f>V15 - (V15 * ( 50% ))</f>
        <v/>
      </c>
      <c r="X15" s="39">
        <f>V15 + (V15 * (SUBSTITUTE(SUBSTITUTE($X$2, "Pessimistic (", ""), "%)", "") / 100))</f>
        <v/>
      </c>
      <c r="Y15" s="79">
        <f>(W15+(4*V15)+X15)/6</f>
        <v/>
      </c>
      <c r="Z15" s="201">
        <f>Y15/2</f>
        <v/>
      </c>
      <c r="AA15" s="166" t="n"/>
      <c r="AB15" s="166" t="n"/>
      <c r="AC15" s="166" t="n"/>
      <c r="AD15" s="223" t="n">
        <v>46132</v>
      </c>
      <c r="AE15" s="200">
        <f>IF($Z15="",0,IF($M15="",0,$M15))</f>
        <v/>
      </c>
      <c r="AF15" s="200">
        <f>IF(OR($Z15="",$N15=""),0,$Z15*5%)</f>
        <v/>
      </c>
      <c r="AG15" s="200">
        <f>IF(OR($Z15="",$O15=""),0,$Z15*10%)</f>
        <v/>
      </c>
      <c r="AH15" s="200">
        <f>IF($Z15="",0,IF(AND($P15="",$Q15=""),($Z15-$AE15-$AF15-$AG15-$AJ15-$AK15-$AL15-$AM15-$AN15),IF($P15="",0,IF($Q15="",($Z15-$AE15-$AF15-$AG15-$AJ15-$AK15-$AL15-$AM15-$AN15),($Z15-$AE15-$AF15-$AG15-$AJ15-$AK15-$AL15-$AM15-$AN15)*40%/(40%+15%)))))</f>
        <v/>
      </c>
      <c r="AI15" s="200">
        <f>IF($Z15="",0,IF(AND($P15="",$Q15=""),0,IF($Q15="",0,IF($P15="",($Z15-$AE15-$AF15-$AG15-$AJ15-$AK15-$AL15-$AM15-$AN15),($Z15-$AE15-$AF15-$AG15-$AJ15-$AK15-$AL15-$AM15-$AN15)*15%/(40%+15%)))))</f>
        <v/>
      </c>
      <c r="AJ15" s="282">
        <f>IF($Z15="",0,$Z15*15%)</f>
        <v/>
      </c>
      <c r="AK15" s="200">
        <f>IF($Z15="",0,IF($R15="",0,$R15))</f>
        <v/>
      </c>
      <c r="AL15" s="200">
        <f>IF(OR($Z15="",$S15=""),0,$Z15*5%)</f>
        <v/>
      </c>
      <c r="AM15" s="200">
        <f>IF(OR($Z15="",$T15=""),0,$Z15*10%)</f>
        <v/>
      </c>
      <c r="AN15" s="200">
        <f>IF($Z15="",0,IF($U15="",0,$U15))</f>
        <v/>
      </c>
    </row>
    <row r="16" ht="18" customHeight="1" s="300">
      <c r="A16" s="1" t="n">
        <v>13</v>
      </c>
      <c r="B16" s="1" t="inlineStr">
        <is>
          <t>Documentation</t>
        </is>
      </c>
      <c r="C16" s="1" t="inlineStr">
        <is>
          <t>Documentation</t>
        </is>
      </c>
      <c r="D16" s="1" t="inlineStr">
        <is>
          <t>User Manual</t>
        </is>
      </c>
      <c r="E16" s="1" t="n"/>
      <c r="F16" s="1" t="inlineStr">
        <is>
          <t>RnD</t>
        </is>
      </c>
      <c r="G16" s="1" t="n"/>
      <c r="H16" s="1" t="n"/>
      <c r="I16" s="1" t="n"/>
      <c r="J16" s="1" t="n"/>
      <c r="K16" s="1" t="n"/>
      <c r="L16" s="1" t="n"/>
      <c r="M16" s="1" t="n"/>
      <c r="N16" s="1" t="n"/>
      <c r="O16" s="1" t="n"/>
      <c r="P16" s="1" t="n"/>
      <c r="Q16" s="1" t="n"/>
      <c r="R16" s="1" t="n"/>
      <c r="S16" s="1" t="n"/>
      <c r="T16" s="1" t="n"/>
      <c r="U16" s="1" t="n"/>
      <c r="V16" s="58">
        <f>SUM(M16:U16)</f>
        <v/>
      </c>
      <c r="W16" s="39">
        <f>V16 - (V16 * ( 50% ))</f>
        <v/>
      </c>
      <c r="X16" s="39">
        <f>V16 + (V16 * (SUBSTITUTE(SUBSTITUTE($X$2, "Pessimistic (", ""), "%)", "") / 100))</f>
        <v/>
      </c>
      <c r="Y16" s="79">
        <f>(W16+(4*V16)+X16)/6</f>
        <v/>
      </c>
      <c r="Z16" s="201">
        <f>Y16/2</f>
        <v/>
      </c>
      <c r="AA16" s="166" t="n"/>
      <c r="AB16" s="166" t="n"/>
      <c r="AC16" s="166" t="n"/>
      <c r="AD16" s="166" t="n"/>
      <c r="AE16" s="200">
        <f>IF($Z16="",0,IF($M16="",0,$M16))</f>
        <v/>
      </c>
      <c r="AF16" s="200">
        <f>IF(OR($Z16="",$N16=""),0,$Z16*5%)</f>
        <v/>
      </c>
      <c r="AG16" s="200">
        <f>IF(OR($Z16="",$O16=""),0,$Z16*10%)</f>
        <v/>
      </c>
      <c r="AH16" s="200">
        <f>IF($Z16="",0,IF(AND($P16="",$Q16=""),($Z16-$AE16-$AF16-$AG16-$AJ16-$AK16-$AL16-$AM16-$AN16),IF($P16="",0,IF($Q16="",($Z16-$AE16-$AF16-$AG16-$AJ16-$AK16-$AL16-$AM16-$AN16),($Z16-$AE16-$AF16-$AG16-$AJ16-$AK16-$AL16-$AM16-$AN16)*40%/(40%+15%)))))</f>
        <v/>
      </c>
      <c r="AI16" s="200">
        <f>IF($Z16="",0,IF(AND($P16="",$Q16=""),0,IF($Q16="",0,IF($P16="",($Z16-$AE16-$AF16-$AG16-$AJ16-$AK16-$AL16-$AM16-$AN16),($Z16-$AE16-$AF16-$AG16-$AJ16-$AK16-$AL16-$AM16-$AN16)*15%/(40%+15%)))))</f>
        <v/>
      </c>
      <c r="AJ16" s="282">
        <f>IF($Z16="",0,$Z16*15%)</f>
        <v/>
      </c>
      <c r="AK16" s="200">
        <f>IF($Z16="",0,IF($R16="",0,$R16))</f>
        <v/>
      </c>
      <c r="AL16" s="200">
        <f>IF(OR($Z16="",$S16=""),0,$Z16*5%)</f>
        <v/>
      </c>
      <c r="AM16" s="200">
        <f>IF(OR($Z16="",$T16=""),0,$Z16*10%)</f>
        <v/>
      </c>
      <c r="AN16" s="200">
        <f>IF($Z16="",0,IF($U16="",0,$U16))</f>
        <v/>
      </c>
    </row>
    <row r="17" ht="18" customHeight="1" s="300">
      <c r="A17" s="1" t="n">
        <v>14</v>
      </c>
      <c r="B17" s="291" t="inlineStr">
        <is>
          <t>Support Tickets</t>
        </is>
      </c>
      <c r="C17" s="1" t="inlineStr">
        <is>
          <t>Issue Fixing</t>
        </is>
      </c>
      <c r="D17" s="224" t="inlineStr">
        <is>
          <t>Known Issues fixing (reported during handover)</t>
        </is>
      </c>
      <c r="E17" s="251" t="inlineStr">
        <is>
          <t>https://octopusdtlsupport.atlassian.net/browse/MN-78</t>
        </is>
      </c>
      <c r="F17" s="1" t="inlineStr">
        <is>
          <t>Impl Team</t>
        </is>
      </c>
      <c r="G17" s="1" t="n"/>
      <c r="H17" s="1" t="n"/>
      <c r="I17" s="1" t="n"/>
      <c r="J17" s="1" t="n"/>
      <c r="K17" s="1" t="n"/>
      <c r="L17" s="1" t="n"/>
      <c r="M17" s="1" t="n">
        <v>0</v>
      </c>
      <c r="N17" s="1" t="n">
        <v>0</v>
      </c>
      <c r="O17" s="1" t="n">
        <v>0</v>
      </c>
      <c r="P17" s="1" t="n">
        <v>30</v>
      </c>
      <c r="Q17" s="1" t="n">
        <v>4</v>
      </c>
      <c r="R17" s="1" t="n">
        <v>0</v>
      </c>
      <c r="S17" s="1" t="n">
        <v>0</v>
      </c>
      <c r="T17" s="1" t="n">
        <v>0</v>
      </c>
      <c r="U17" s="1" t="n">
        <v>2</v>
      </c>
      <c r="V17" s="58">
        <f>SUM(M17:U17)</f>
        <v/>
      </c>
      <c r="W17" s="39">
        <f>V17 - (V17 * ( 50% ))</f>
        <v/>
      </c>
      <c r="X17" s="39">
        <f>V17 + (V17 * (SUBSTITUTE(SUBSTITUTE($X$2, "Pessimistic (", ""), "%)", "") / 100))</f>
        <v/>
      </c>
      <c r="Y17" s="79">
        <f>(W17+(4*V17)+X17)/6</f>
        <v/>
      </c>
      <c r="Z17" s="201">
        <f>Y17/2</f>
        <v/>
      </c>
      <c r="AA17" s="166" t="n">
        <v>46132</v>
      </c>
      <c r="AB17" s="166" t="n">
        <v>46142</v>
      </c>
      <c r="AC17" s="166" t="n">
        <v>46143</v>
      </c>
      <c r="AD17" s="166" t="n">
        <v>46150</v>
      </c>
      <c r="AE17" s="200">
        <f>IF($Z17="",0,IF($M17="",0,$M17))</f>
        <v/>
      </c>
      <c r="AF17" s="200">
        <f>IF(OR($Z17="",$N17=""),0,$Z17*5%)</f>
        <v/>
      </c>
      <c r="AG17" s="200">
        <f>IF(OR($Z17="",$O17=""),0,$Z17*10%)</f>
        <v/>
      </c>
      <c r="AH17" s="200">
        <f>IF($Z17="",0,IF(AND($P17="",$Q17=""),($Z17-$AE17-$AF17-$AG17-$AJ17-$AK17-$AL17-$AM17-$AN17),IF($P17="",0,IF($Q17="",($Z17-$AE17-$AF17-$AG17-$AJ17-$AK17-$AL17-$AM17-$AN17),($Z17-$AE17-$AF17-$AG17-$AJ17-$AK17-$AL17-$AM17-$AN17)*40%/(40%+15%)))))</f>
        <v/>
      </c>
      <c r="AI17" s="200">
        <f>IF($Z17="",0,IF(AND($P17="",$Q17=""),0,IF($Q17="",0,IF($P17="",($Z17-$AE17-$AF17-$AG17-$AJ17-$AK17-$AL17-$AM17-$AN17),($Z17-$AE17-$AF17-$AG17-$AJ17-$AK17-$AL17-$AM17-$AN17)*15%/(40%+15%)))))</f>
        <v/>
      </c>
      <c r="AJ17" s="282">
        <f>IF($Z17="",0,$Z17*15%)</f>
        <v/>
      </c>
      <c r="AK17" s="200">
        <f>IF($Z17="",0,IF($R17="",0,$R17))</f>
        <v/>
      </c>
      <c r="AL17" s="200">
        <f>IF(OR($Z17="",$S17=""),0,$Z17*5%)</f>
        <v/>
      </c>
      <c r="AM17" s="200">
        <f>IF(OR($Z17="",$T17=""),0,$Z17*10%)</f>
        <v/>
      </c>
      <c r="AN17" s="200">
        <f>IF($Z17="",0,IF($U17="",0,$U17))</f>
        <v/>
      </c>
      <c r="AO17" t="inlineStr">
        <is>
          <t>First regression on OmniChat</t>
        </is>
      </c>
    </row>
    <row r="18" ht="18" customHeight="1" s="300">
      <c r="V18" s="128">
        <f>SUM(V3:V17)*Settings!I2</f>
        <v/>
      </c>
      <c r="W18" s="39">
        <f>V18 - (V18 * ( 50% ))</f>
        <v/>
      </c>
      <c r="X18" s="39">
        <f>V18 + (V18 * (10%))</f>
        <v/>
      </c>
      <c r="Y18" s="79">
        <f>SUM(Y3:Y17)*Settings!I2</f>
        <v/>
      </c>
      <c r="Z18" s="208">
        <f>SUM(Z3:Z17)*Settings!I2</f>
        <v/>
      </c>
      <c r="AA18" s="188" t="n"/>
      <c r="AB18" s="188" t="n"/>
      <c r="AC18" s="188" t="n"/>
      <c r="AD18" s="188" t="n"/>
      <c r="AG18">
        <f>IF(OR($Z18="",$O18=""),0,$Z18*10%)</f>
        <v/>
      </c>
      <c r="AH18">
        <f>IF($Z18="",0,IF(AND($P18="",$Q18=""),($Z18-$AE18-$AF18-$AG18-$AJ18-$AK18-$AL18-$AM18-$AN18),IF($P18="",0,IF($Q18="",($Z18-$AE18-$AF18-$AG18-$AJ18-$AK18-$AL18-$AM18-$AN18),($Z18-$AE18-$AF18-$AG18-$AJ18-$AK18-$AL18-$AM18-$AN18)*40%/(40%+15%)))))</f>
        <v/>
      </c>
      <c r="AI18">
        <f>IF($Z18="",0,IF(AND($P18="",$Q18=""),0,IF($Q18="",0,IF($P18="",($Z18-$AE18-$AF18-$AG18-$AJ18-$AK18-$AL18-$AM18-$AN18),($Z18-$AE18-$AF18-$AG18-$AJ18-$AK18-$AL18-$AM18-$AN18)*15%/(40%+15%)))))</f>
        <v/>
      </c>
      <c r="AJ18" s="280">
        <f>IF($Z18="",0,$Z18*15%)</f>
        <v/>
      </c>
      <c r="AK18">
        <f>IF($Z18="",0,IF($R18="",0,$R18))</f>
        <v/>
      </c>
      <c r="AL18">
        <f>IF(OR($Z18="",$S18=""),0,$Z18*5%)</f>
        <v/>
      </c>
      <c r="AM18">
        <f>IF(OR($Z18="",$T18=""),0,$Z18*10%)</f>
        <v/>
      </c>
      <c r="AN18">
        <f>IF($Z18="",0,IF($U18="",0,$U18))</f>
        <v/>
      </c>
    </row>
  </sheetData>
  <mergeCells count="6">
    <mergeCell ref="A1:D1"/>
    <mergeCell ref="M1:V1"/>
    <mergeCell ref="W1:AN1"/>
    <mergeCell ref="C10:C11"/>
    <mergeCell ref="C5:C9"/>
    <mergeCell ref="B4:B13"/>
  </mergeCells>
  <hyperlinks>
    <hyperlink xmlns:r="http://schemas.openxmlformats.org/officeDocument/2006/relationships" ref="E4" r:id="rId1"/>
    <hyperlink xmlns:r="http://schemas.openxmlformats.org/officeDocument/2006/relationships" ref="E5" r:id="rId2"/>
    <hyperlink xmlns:r="http://schemas.openxmlformats.org/officeDocument/2006/relationships" ref="E6" r:id="rId3"/>
    <hyperlink xmlns:r="http://schemas.openxmlformats.org/officeDocument/2006/relationships" ref="E7" r:id="rId4"/>
    <hyperlink xmlns:r="http://schemas.openxmlformats.org/officeDocument/2006/relationships" ref="E8" r:id="rId5"/>
    <hyperlink xmlns:r="http://schemas.openxmlformats.org/officeDocument/2006/relationships" ref="E9" r:id="rId6"/>
    <hyperlink xmlns:r="http://schemas.openxmlformats.org/officeDocument/2006/relationships" ref="E10" r:id="rId7"/>
    <hyperlink xmlns:r="http://schemas.openxmlformats.org/officeDocument/2006/relationships" ref="E11" r:id="rId8"/>
    <hyperlink xmlns:r="http://schemas.openxmlformats.org/officeDocument/2006/relationships" ref="E12" r:id="rId9"/>
    <hyperlink xmlns:r="http://schemas.openxmlformats.org/officeDocument/2006/relationships" ref="E15" r:id="rId10"/>
    <hyperlink xmlns:r="http://schemas.openxmlformats.org/officeDocument/2006/relationships" ref="E17" r:id="rId11"/>
  </hyperlink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B2:C9"/>
  <sheetViews>
    <sheetView workbookViewId="0">
      <selection activeCell="C9" sqref="C9"/>
    </sheetView>
  </sheetViews>
  <sheetFormatPr baseColWidth="8" defaultRowHeight="14.4"/>
  <sheetData>
    <row r="2">
      <c r="C2" t="inlineStr">
        <is>
          <t>Estimations</t>
        </is>
      </c>
    </row>
    <row r="3">
      <c r="B3" t="inlineStr">
        <is>
          <t xml:space="preserve">EPR </t>
        </is>
      </c>
      <c r="C3" t="inlineStr">
        <is>
          <t>Planned  vs Actual</t>
        </is>
      </c>
    </row>
    <row r="4">
      <c r="C4" t="inlineStr">
        <is>
          <t>Efficiency</t>
        </is>
      </c>
    </row>
    <row r="5">
      <c r="C5" t="inlineStr">
        <is>
          <t>Schedule variance in days</t>
        </is>
      </c>
    </row>
    <row r="9">
      <c r="B9" t="inlineStr">
        <is>
          <t>Later</t>
        </is>
      </c>
      <c r="C9" t="inlineStr">
        <is>
          <t>Technical Debt</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N25"/>
  <sheetViews>
    <sheetView workbookViewId="0">
      <selection activeCell="A5" sqref="A5"/>
    </sheetView>
  </sheetViews>
  <sheetFormatPr baseColWidth="8" defaultRowHeight="14.4"/>
  <cols>
    <col width="33.44140625" customWidth="1" style="300" min="1" max="1"/>
    <col width="13.6640625" customWidth="1" style="300" min="4" max="4"/>
    <col width="12.88671875" customWidth="1" style="300" min="5" max="5"/>
    <col width="36.5546875" bestFit="1" customWidth="1" style="300" min="12" max="12"/>
    <col width="13.88671875" bestFit="1" customWidth="1" style="300" min="14" max="14"/>
  </cols>
  <sheetData>
    <row r="1">
      <c r="A1" s="8" t="inlineStr">
        <is>
          <t>Digital Log - Absolute range</t>
        </is>
      </c>
      <c r="B1" s="9" t="inlineStr">
        <is>
          <t>DEV</t>
        </is>
      </c>
      <c r="C1" s="10" t="n">
        <v>30</v>
      </c>
      <c r="D1" s="11" t="inlineStr">
        <is>
          <t xml:space="preserve"> </t>
        </is>
      </c>
      <c r="E1" s="11" t="inlineStr">
        <is>
          <t xml:space="preserve"> </t>
        </is>
      </c>
      <c r="F1" s="12" t="n">
        <v>3</v>
      </c>
      <c r="G1" s="13" t="n"/>
      <c r="H1" t="inlineStr">
        <is>
          <t xml:space="preserve">Enrichment </t>
        </is>
      </c>
    </row>
    <row r="2">
      <c r="A2" s="8" t="inlineStr">
        <is>
          <t>Digital Log - Absolute range</t>
        </is>
      </c>
      <c r="B2" s="9" t="inlineStr">
        <is>
          <t>MAN</t>
        </is>
      </c>
      <c r="C2" s="10" t="n">
        <v>5</v>
      </c>
      <c r="D2" s="11" t="inlineStr">
        <is>
          <t xml:space="preserve"> </t>
        </is>
      </c>
      <c r="E2" s="11" t="n"/>
      <c r="F2" s="12" t="n"/>
      <c r="G2" s="13" t="n"/>
      <c r="H2" t="inlineStr">
        <is>
          <t xml:space="preserve">Enrichment </t>
        </is>
      </c>
      <c r="L2" s="18" t="inlineStr">
        <is>
          <t>Digital Log - Absolute range</t>
        </is>
      </c>
      <c r="M2" t="n">
        <v>35</v>
      </c>
      <c r="N2" t="inlineStr">
        <is>
          <t xml:space="preserve">Enrichment </t>
        </is>
      </c>
    </row>
    <row r="3" ht="28.95" customHeight="1" s="300">
      <c r="A3" s="8" t="inlineStr">
        <is>
          <t>Digital Log - Attachment pic with each Checklist (, audio, video, pdf, etc)</t>
        </is>
      </c>
      <c r="B3" s="9" t="inlineStr">
        <is>
          <t>DEV</t>
        </is>
      </c>
      <c r="C3" s="10" t="n">
        <v>15</v>
      </c>
      <c r="D3" s="11" t="inlineStr">
        <is>
          <t xml:space="preserve"> </t>
        </is>
      </c>
      <c r="E3" s="11" t="inlineStr">
        <is>
          <t xml:space="preserve"> </t>
        </is>
      </c>
      <c r="F3" s="12" t="n">
        <v>3</v>
      </c>
      <c r="G3" s="13" t="n"/>
      <c r="H3" t="inlineStr">
        <is>
          <t>Input</t>
        </is>
      </c>
      <c r="L3" s="18" t="inlineStr">
        <is>
          <t>Digital Log - Attachment pic with each Checklist (, audio, video, pdf, etc)</t>
        </is>
      </c>
      <c r="M3" t="n">
        <v>20</v>
      </c>
      <c r="N3" t="inlineStr">
        <is>
          <t>Input</t>
        </is>
      </c>
    </row>
    <row r="4" ht="28.95" customHeight="1" s="300">
      <c r="A4" s="8" t="inlineStr">
        <is>
          <t>Digital Log - Attachment pic with each Checklist (, audio, video, pdf, etc)</t>
        </is>
      </c>
      <c r="B4" s="9" t="inlineStr">
        <is>
          <t>MAN</t>
        </is>
      </c>
      <c r="C4" s="10" t="n">
        <v>5</v>
      </c>
      <c r="D4" s="11" t="n"/>
      <c r="E4" s="11" t="n"/>
      <c r="F4" s="12" t="n"/>
      <c r="G4" s="13" t="n"/>
      <c r="H4" t="inlineStr">
        <is>
          <t>Input</t>
        </is>
      </c>
      <c r="L4" s="18" t="inlineStr">
        <is>
          <t>Digital Log - Attachments at remarks from approver1, approver2</t>
        </is>
      </c>
      <c r="M4" t="n">
        <v>23</v>
      </c>
      <c r="N4" t="inlineStr">
        <is>
          <t>Input</t>
        </is>
      </c>
    </row>
    <row r="5" ht="57.6" customHeight="1" s="300">
      <c r="A5" s="8" t="inlineStr">
        <is>
          <t>Digital Log - Attachments at remarks from approver1, approver2</t>
        </is>
      </c>
      <c r="B5" s="9" t="inlineStr">
        <is>
          <t>DEV</t>
        </is>
      </c>
      <c r="C5" s="10" t="n">
        <v>18</v>
      </c>
      <c r="D5" s="11" t="inlineStr">
        <is>
          <t xml:space="preserve"> </t>
        </is>
      </c>
      <c r="E5" s="11" t="inlineStr">
        <is>
          <t xml:space="preserve"> </t>
        </is>
      </c>
      <c r="F5" s="12" t="n">
        <v>3</v>
      </c>
      <c r="G5" s="13" t="n"/>
      <c r="H5" t="inlineStr">
        <is>
          <t>Input</t>
        </is>
      </c>
      <c r="L5" s="18" t="inlineStr">
        <is>
          <t>Digital Log - Bulk creation of parameters through importing CSV file(s) (User can develop a template of parameters and then can use for multiple areas/assets)</t>
        </is>
      </c>
      <c r="M5" t="n">
        <v>29</v>
      </c>
      <c r="N5" t="inlineStr">
        <is>
          <t>Input</t>
        </is>
      </c>
    </row>
    <row r="6">
      <c r="A6" s="8" t="inlineStr">
        <is>
          <t>Digital Log - Attachments at remarks from approver1, approver2</t>
        </is>
      </c>
      <c r="B6" s="9" t="inlineStr">
        <is>
          <t>MAN</t>
        </is>
      </c>
      <c r="C6" s="10" t="n">
        <v>5</v>
      </c>
      <c r="D6" s="11" t="n"/>
      <c r="E6" s="11" t="n"/>
      <c r="F6" s="12" t="n"/>
      <c r="G6" s="13" t="n"/>
      <c r="H6" t="inlineStr">
        <is>
          <t>Input</t>
        </is>
      </c>
      <c r="L6" s="18" t="inlineStr">
        <is>
          <t>Digital Log - Calculated tags</t>
        </is>
      </c>
      <c r="M6" t="n">
        <v>50</v>
      </c>
      <c r="N6" t="inlineStr">
        <is>
          <t xml:space="preserve">Enrichment </t>
        </is>
      </c>
    </row>
    <row r="7" ht="43.2" customHeight="1" s="300">
      <c r="A7" s="8" t="inlineStr">
        <is>
          <t>Digital Log - Bulk creation of parameters through importing CSV file(s) (User can develop a template of parameters and then can use for multiple areas/assets)</t>
        </is>
      </c>
      <c r="B7" s="9" t="inlineStr">
        <is>
          <t>DEV</t>
        </is>
      </c>
      <c r="C7" s="10" t="n">
        <v>24</v>
      </c>
      <c r="D7" s="11" t="inlineStr">
        <is>
          <t xml:space="preserve"> </t>
        </is>
      </c>
      <c r="E7" s="11" t="inlineStr">
        <is>
          <t xml:space="preserve"> </t>
        </is>
      </c>
      <c r="F7" s="12" t="n">
        <v>3</v>
      </c>
      <c r="G7" s="13" t="n"/>
      <c r="H7" t="inlineStr">
        <is>
          <t>Input</t>
        </is>
      </c>
      <c r="L7" s="19" t="inlineStr">
        <is>
          <t>Digital Log - Delete option to admin (to delete unclaimed checklists) Data Collector → Inbox</t>
        </is>
      </c>
      <c r="N7" t="inlineStr">
        <is>
          <t>Administration</t>
        </is>
      </c>
    </row>
    <row r="8" ht="28.95" customHeight="1" s="300">
      <c r="A8" s="8" t="inlineStr">
        <is>
          <t>Digital Log - Bulk creation of parameters through importing CSV file(s) (User can develop a template of parameters and then can use for multiple areas/assets)</t>
        </is>
      </c>
      <c r="B8" s="9" t="inlineStr">
        <is>
          <t>MAN</t>
        </is>
      </c>
      <c r="C8" s="10" t="n">
        <v>5</v>
      </c>
      <c r="D8" s="11" t="n"/>
      <c r="E8" s="11" t="n"/>
      <c r="F8" s="12" t="n"/>
      <c r="G8" s="13" t="n"/>
      <c r="H8" t="inlineStr">
        <is>
          <t>Input</t>
        </is>
      </c>
      <c r="L8" s="19" t="inlineStr">
        <is>
          <t>Digital Log - DL Analytics (Dependent upon client need &amp; Data)</t>
        </is>
      </c>
      <c r="N8" t="inlineStr">
        <is>
          <t xml:space="preserve">Enrichment </t>
        </is>
      </c>
    </row>
    <row r="9">
      <c r="A9" s="8" t="inlineStr">
        <is>
          <t>Digital Log - Calculated tags</t>
        </is>
      </c>
      <c r="B9" s="9" t="inlineStr">
        <is>
          <t>DEV</t>
        </is>
      </c>
      <c r="C9" s="10" t="n">
        <v>45</v>
      </c>
      <c r="D9" s="11" t="inlineStr">
        <is>
          <t xml:space="preserve"> </t>
        </is>
      </c>
      <c r="E9" s="11" t="inlineStr">
        <is>
          <t xml:space="preserve"> </t>
        </is>
      </c>
      <c r="F9" s="12" t="n">
        <v>3</v>
      </c>
      <c r="G9" s="13" t="n"/>
      <c r="H9" t="inlineStr">
        <is>
          <t xml:space="preserve">Enrichment </t>
        </is>
      </c>
      <c r="L9" s="19" t="inlineStr">
        <is>
          <t>Digital Log - DL Default Reports</t>
        </is>
      </c>
      <c r="N9" t="inlineStr">
        <is>
          <t xml:space="preserve">Enrichment </t>
        </is>
      </c>
    </row>
    <row r="10">
      <c r="A10" s="8" t="inlineStr">
        <is>
          <t>Digital Log - Calculated tags</t>
        </is>
      </c>
      <c r="B10" s="9" t="inlineStr">
        <is>
          <t>MAN</t>
        </is>
      </c>
      <c r="C10" s="10" t="n">
        <v>5</v>
      </c>
      <c r="D10" s="11" t="n"/>
      <c r="E10" s="11" t="n"/>
      <c r="F10" s="12" t="n"/>
      <c r="G10" s="13" t="n"/>
      <c r="H10" t="inlineStr">
        <is>
          <t xml:space="preserve">Enrichment </t>
        </is>
      </c>
      <c r="L10" s="20" t="inlineStr">
        <is>
          <t>Digital Log - DL Trial on WebSite</t>
        </is>
      </c>
      <c r="M10" s="21" t="n"/>
      <c r="N10" s="21" t="inlineStr">
        <is>
          <t>Input</t>
        </is>
      </c>
    </row>
    <row r="11" ht="28.95" customHeight="1" s="300">
      <c r="A11" s="8" t="inlineStr">
        <is>
          <t>Digital Log - Delete option to admin (to delete unclaimed checklists) Data Collector → Inbox</t>
        </is>
      </c>
      <c r="B11" s="9" t="inlineStr">
        <is>
          <t>DEV</t>
        </is>
      </c>
      <c r="C11" s="10" t="n">
        <v>6</v>
      </c>
      <c r="D11" s="11" t="inlineStr">
        <is>
          <t xml:space="preserve"> </t>
        </is>
      </c>
      <c r="E11" s="11" t="inlineStr">
        <is>
          <t xml:space="preserve"> </t>
        </is>
      </c>
      <c r="F11" s="12" t="n">
        <v>3</v>
      </c>
      <c r="G11" s="13" t="n"/>
      <c r="H11" t="inlineStr">
        <is>
          <t xml:space="preserve">Enrichment </t>
        </is>
      </c>
      <c r="L11" s="22" t="inlineStr">
        <is>
          <t>Digital Log - Domain Migration to Brand Octopus Digital</t>
        </is>
      </c>
      <c r="M11" s="21" t="n"/>
      <c r="N11" s="21" t="inlineStr">
        <is>
          <t>Administration</t>
        </is>
      </c>
    </row>
    <row r="12">
      <c r="A12" s="8" t="inlineStr">
        <is>
          <t>Digital Log - Delete option to admin (to delete unclaimed checklists) Data Collector → Inbox</t>
        </is>
      </c>
      <c r="B12" s="9" t="inlineStr">
        <is>
          <t>MAN</t>
        </is>
      </c>
      <c r="C12" s="10" t="n">
        <v>5</v>
      </c>
      <c r="D12" s="11" t="n"/>
      <c r="E12" s="11" t="n"/>
      <c r="F12" s="12" t="n"/>
      <c r="G12" s="13" t="n"/>
      <c r="H12" t="inlineStr">
        <is>
          <t xml:space="preserve">Enrichment </t>
        </is>
      </c>
    </row>
    <row r="13">
      <c r="A13" s="8" t="inlineStr">
        <is>
          <t>Digital Log - DL Analytics (Dependent upon client need &amp; Data)</t>
        </is>
      </c>
      <c r="B13" s="9" t="inlineStr">
        <is>
          <t>DEV</t>
        </is>
      </c>
      <c r="C13" s="10" t="n">
        <v>60</v>
      </c>
      <c r="D13" s="11" t="inlineStr">
        <is>
          <t xml:space="preserve"> </t>
        </is>
      </c>
      <c r="E13" s="11" t="inlineStr">
        <is>
          <t xml:space="preserve"> </t>
        </is>
      </c>
      <c r="F13" s="12" t="n">
        <v>3</v>
      </c>
      <c r="G13" s="13" t="n"/>
      <c r="H13" t="inlineStr">
        <is>
          <t>Administration</t>
        </is>
      </c>
    </row>
    <row r="14">
      <c r="A14" s="8" t="inlineStr">
        <is>
          <t>Digital Log - DL Analytics (Dependent upon client need &amp; Data)</t>
        </is>
      </c>
      <c r="B14" s="9" t="inlineStr">
        <is>
          <t>MAN</t>
        </is>
      </c>
      <c r="C14" s="10" t="n">
        <v>5</v>
      </c>
      <c r="D14" s="11" t="n"/>
      <c r="E14" s="11" t="n"/>
      <c r="F14" s="12" t="n"/>
      <c r="G14" s="13" t="n"/>
      <c r="H14" t="inlineStr">
        <is>
          <t>Administration</t>
        </is>
      </c>
    </row>
    <row r="15">
      <c r="A15" s="14" t="inlineStr">
        <is>
          <t>Digital Log - DL Default Reports</t>
        </is>
      </c>
      <c r="B15" s="15" t="inlineStr">
        <is>
          <t>DEV</t>
        </is>
      </c>
      <c r="C15" s="15" t="n">
        <v>45</v>
      </c>
      <c r="D15" s="11" t="n"/>
      <c r="E15" s="11" t="n"/>
      <c r="F15" s="16" t="n">
        <v>3</v>
      </c>
      <c r="G15" s="13" t="n"/>
      <c r="H15" t="inlineStr">
        <is>
          <t xml:space="preserve">Enrichment </t>
        </is>
      </c>
    </row>
    <row r="16">
      <c r="A16" s="14" t="inlineStr">
        <is>
          <t>Digital Log - DL Default Reports</t>
        </is>
      </c>
      <c r="B16" s="15" t="inlineStr">
        <is>
          <t>SQA</t>
        </is>
      </c>
      <c r="C16" s="15" t="inlineStr">
        <is>
          <t xml:space="preserve"> </t>
        </is>
      </c>
      <c r="D16" s="15" t="inlineStr">
        <is>
          <t xml:space="preserve"> </t>
        </is>
      </c>
      <c r="E16" s="15" t="inlineStr">
        <is>
          <t xml:space="preserve"> </t>
        </is>
      </c>
      <c r="F16" s="16" t="inlineStr">
        <is>
          <t xml:space="preserve"> </t>
        </is>
      </c>
      <c r="G16" s="13" t="n"/>
      <c r="H16" t="inlineStr">
        <is>
          <t xml:space="preserve">Enrichment </t>
        </is>
      </c>
    </row>
    <row r="17">
      <c r="A17" s="14" t="inlineStr">
        <is>
          <t>Digital Log - DL Default Reports</t>
        </is>
      </c>
      <c r="B17" s="15" t="inlineStr">
        <is>
          <t>MAN</t>
        </is>
      </c>
      <c r="C17" s="15" t="n">
        <v>5</v>
      </c>
      <c r="D17" s="15" t="inlineStr">
        <is>
          <t xml:space="preserve"> </t>
        </is>
      </c>
      <c r="E17" s="15" t="inlineStr">
        <is>
          <t xml:space="preserve"> </t>
        </is>
      </c>
      <c r="F17" s="16" t="inlineStr">
        <is>
          <t xml:space="preserve"> </t>
        </is>
      </c>
      <c r="G17" s="13" t="n"/>
      <c r="H17" t="inlineStr">
        <is>
          <t xml:space="preserve">Enrichment </t>
        </is>
      </c>
    </row>
    <row r="18" ht="28.95" customHeight="1" s="300">
      <c r="A18" s="14" t="inlineStr">
        <is>
          <t>Digital Log - DL Default Reports - Research</t>
        </is>
      </c>
      <c r="B18" s="15" t="n"/>
      <c r="C18" s="15" t="n">
        <v>3</v>
      </c>
      <c r="D18" s="17" t="n">
        <v>46031</v>
      </c>
      <c r="E18" s="17" t="n">
        <v>46035</v>
      </c>
      <c r="F18" s="16" t="n">
        <v>1</v>
      </c>
      <c r="G18" s="13" t="n"/>
      <c r="H18" t="inlineStr">
        <is>
          <t xml:space="preserve">Enrichment </t>
        </is>
      </c>
    </row>
    <row r="19">
      <c r="A19" s="8" t="inlineStr">
        <is>
          <t>Digital Log - DL Trial on WebSite</t>
        </is>
      </c>
      <c r="B19" s="9" t="inlineStr">
        <is>
          <t>DEV</t>
        </is>
      </c>
      <c r="C19" s="10" t="n">
        <v>75</v>
      </c>
      <c r="D19" s="15" t="inlineStr">
        <is>
          <t xml:space="preserve"> </t>
        </is>
      </c>
      <c r="E19" s="15" t="inlineStr">
        <is>
          <t xml:space="preserve"> </t>
        </is>
      </c>
      <c r="F19" s="12" t="n">
        <v>3</v>
      </c>
      <c r="G19" s="13" t="n"/>
      <c r="H19" t="inlineStr">
        <is>
          <t xml:space="preserve">Enrichment </t>
        </is>
      </c>
    </row>
    <row r="20">
      <c r="A20" s="8" t="inlineStr">
        <is>
          <t>Digital Log - DL Trial on WebSite</t>
        </is>
      </c>
      <c r="B20" s="15" t="inlineStr">
        <is>
          <t>MAN</t>
        </is>
      </c>
      <c r="C20" s="15" t="n">
        <v>5</v>
      </c>
      <c r="D20" s="15" t="n"/>
      <c r="E20" s="15" t="n"/>
      <c r="F20" s="12" t="n"/>
      <c r="G20" s="13" t="n"/>
      <c r="H20" t="inlineStr">
        <is>
          <t xml:space="preserve">Enrichment </t>
        </is>
      </c>
    </row>
    <row r="21" ht="28.95" customHeight="1" s="300">
      <c r="A21" s="14" t="inlineStr">
        <is>
          <t>Digital Log - Domain Migration to Brand Octopus Digital</t>
        </is>
      </c>
      <c r="B21" s="15" t="inlineStr">
        <is>
          <t>DEV</t>
        </is>
      </c>
      <c r="C21" s="15" t="n">
        <v>12</v>
      </c>
      <c r="D21" s="17" t="n">
        <v>46062</v>
      </c>
      <c r="E21" s="17" t="n">
        <v>46065</v>
      </c>
      <c r="F21" s="16" t="n">
        <v>3</v>
      </c>
      <c r="G21" s="13" t="n"/>
      <c r="H21" t="inlineStr">
        <is>
          <t xml:space="preserve">Enrichment </t>
        </is>
      </c>
    </row>
    <row r="22" ht="28.95" customHeight="1" s="300">
      <c r="A22" s="14" t="inlineStr">
        <is>
          <t>Digital Log - Domain Migration to Brand Octopus Digital</t>
        </is>
      </c>
      <c r="B22" s="15" t="inlineStr">
        <is>
          <t>SQA</t>
        </is>
      </c>
      <c r="C22" s="15" t="n">
        <v>4</v>
      </c>
      <c r="D22" s="17" t="n">
        <v>46066</v>
      </c>
      <c r="E22" s="17" t="n">
        <v>46072</v>
      </c>
      <c r="F22" s="16" t="n">
        <v>1</v>
      </c>
      <c r="G22" s="13" t="n"/>
      <c r="H22" t="inlineStr">
        <is>
          <t xml:space="preserve">Enrichment </t>
        </is>
      </c>
    </row>
    <row r="23" ht="28.95" customHeight="1" s="300">
      <c r="A23" s="14" t="inlineStr">
        <is>
          <t>Digital Log - Domain Migration to Brand Octopus Digital</t>
        </is>
      </c>
      <c r="B23" s="15" t="inlineStr">
        <is>
          <t>MAN</t>
        </is>
      </c>
      <c r="C23" s="15" t="n">
        <v>5</v>
      </c>
      <c r="D23" s="17" t="n">
        <v>46066</v>
      </c>
      <c r="E23" s="17" t="n">
        <v>46072</v>
      </c>
      <c r="F23" s="16" t="inlineStr">
        <is>
          <t xml:space="preserve"> </t>
        </is>
      </c>
      <c r="G23" s="13" t="n"/>
      <c r="H23" t="inlineStr">
        <is>
          <t xml:space="preserve">Enrichment </t>
        </is>
      </c>
    </row>
    <row r="24">
      <c r="A24" s="8" t="inlineStr">
        <is>
          <t>Digital Log - Email text formatting</t>
        </is>
      </c>
      <c r="B24" s="9" t="inlineStr">
        <is>
          <t>DEV</t>
        </is>
      </c>
      <c r="C24" s="10" t="n">
        <v>15</v>
      </c>
      <c r="D24" s="15" t="inlineStr">
        <is>
          <t xml:space="preserve"> </t>
        </is>
      </c>
      <c r="E24" s="15" t="inlineStr">
        <is>
          <t xml:space="preserve"> </t>
        </is>
      </c>
      <c r="F24" s="12" t="n">
        <v>3</v>
      </c>
      <c r="G24" s="13" t="n"/>
      <c r="H24" t="inlineStr">
        <is>
          <t xml:space="preserve">Enrichment </t>
        </is>
      </c>
    </row>
    <row r="25">
      <c r="A25" s="8" t="inlineStr">
        <is>
          <t>Digital Log - Email text formatting</t>
        </is>
      </c>
      <c r="B25" s="15" t="inlineStr">
        <is>
          <t>MAN</t>
        </is>
      </c>
      <c r="C25" s="15" t="n">
        <v>5</v>
      </c>
      <c r="D25" s="15" t="n"/>
      <c r="E25" s="15" t="n"/>
      <c r="F25" s="12" t="n"/>
      <c r="G25" s="13" t="n"/>
      <c r="H25" t="inlineStr">
        <is>
          <t xml:space="preserve">Enrichment </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AO35"/>
  <sheetViews>
    <sheetView tabSelected="1" workbookViewId="0">
      <pane xSplit="5" ySplit="2" topLeftCell="AB3" activePane="bottomRight" state="frozen"/>
      <selection pane="topRight" activeCell="A1" sqref="A1"/>
      <selection pane="bottomLeft" activeCell="A1" sqref="A1"/>
      <selection pane="bottomRight" activeCell="Z25" sqref="Z25"/>
    </sheetView>
  </sheetViews>
  <sheetFormatPr baseColWidth="8" defaultColWidth="9.109375" defaultRowHeight="17.25" customHeight="1"/>
  <cols>
    <col width="4.44140625" bestFit="1" customWidth="1" style="321" min="1" max="1"/>
    <col width="13.109375" customWidth="1" style="321" min="2" max="2"/>
    <col width="20.109375" customWidth="1" style="321" min="3" max="3"/>
    <col width="42.5546875" customWidth="1" style="126" min="4" max="4"/>
    <col width="10.5546875" customWidth="1" style="126" min="5" max="5"/>
    <col width="22.44140625" customWidth="1" style="321" min="6" max="6"/>
    <col width="10" customWidth="1" style="321" min="7" max="7"/>
    <col width="7.6640625" customWidth="1" style="321" min="8" max="8"/>
    <col width="9.109375" customWidth="1" style="321" min="9" max="9"/>
    <col width="7.6640625" customWidth="1" style="321" min="10" max="11"/>
    <col width="8.33203125" customWidth="1" style="321" min="12" max="12"/>
    <col width="11.6640625" customWidth="1" style="321" min="13" max="13"/>
    <col width="9.109375" customWidth="1" style="321" min="14" max="21"/>
    <col width="10" bestFit="1" customWidth="1" style="321" min="22" max="22"/>
    <col width="16" bestFit="1" customWidth="1" style="321" min="23" max="23"/>
    <col width="16.5546875" bestFit="1" customWidth="1" style="321" min="24" max="24"/>
    <col width="11.6640625" bestFit="1" customWidth="1" style="321" min="25" max="25"/>
    <col width="11.6640625" customWidth="1" style="322" min="26" max="26"/>
    <col width="11.6640625" customWidth="1" style="321" min="27" max="30"/>
    <col width="15" bestFit="1" customWidth="1" style="321" min="31" max="31"/>
    <col width="11.33203125" bestFit="1" customWidth="1" style="321" min="32" max="32"/>
    <col width="12.5546875" bestFit="1" customWidth="1" style="321" min="33" max="33"/>
    <col width="10.109375" bestFit="1" customWidth="1" style="321" min="34" max="34"/>
    <col width="10.44140625" bestFit="1" customWidth="1" style="321" min="35" max="35"/>
    <col width="14" bestFit="1" customWidth="1" style="321" min="36" max="36"/>
    <col width="9" bestFit="1" customWidth="1" style="321" min="37" max="37"/>
    <col width="13.33203125" bestFit="1" customWidth="1" style="321" min="38" max="38"/>
    <col width="12.44140625" bestFit="1" customWidth="1" style="321" min="39" max="39"/>
    <col width="9.109375" customWidth="1" style="321" min="40" max="40"/>
    <col width="9.109375" customWidth="1" style="321" min="41" max="16384"/>
  </cols>
  <sheetData>
    <row r="1" ht="17.25" customHeight="1" s="300">
      <c r="A1" s="316" t="inlineStr">
        <is>
          <t>Digital Log Roadmap Items</t>
        </is>
      </c>
      <c r="B1" s="286" t="n"/>
      <c r="C1" s="286" t="n"/>
      <c r="D1" s="286" t="n"/>
      <c r="E1" s="252" t="n"/>
      <c r="F1" s="113" t="n"/>
      <c r="G1" s="113" t="n"/>
      <c r="H1" s="114" t="inlineStr">
        <is>
          <t>BHW</t>
        </is>
      </c>
      <c r="I1" s="114" t="inlineStr">
        <is>
          <t>TK</t>
        </is>
      </c>
      <c r="J1" s="114" t="inlineStr">
        <is>
          <t>AA</t>
        </is>
      </c>
      <c r="K1" s="114" t="inlineStr">
        <is>
          <t>TS</t>
        </is>
      </c>
      <c r="L1" s="115" t="n"/>
      <c r="M1" s="318" t="inlineStr">
        <is>
          <t>RnD Most likely</t>
        </is>
      </c>
      <c r="N1" s="286" t="n"/>
      <c r="O1" s="286" t="n"/>
      <c r="P1" s="286" t="n"/>
      <c r="Q1" s="286" t="n"/>
      <c r="R1" s="286" t="n"/>
      <c r="S1" s="286" t="n"/>
      <c r="T1" s="286" t="n"/>
      <c r="U1" s="286" t="n"/>
      <c r="V1" s="286" t="n"/>
      <c r="W1" s="320" t="inlineStr">
        <is>
          <t>TK Budgeted</t>
        </is>
      </c>
      <c r="AO1" s="265" t="n"/>
    </row>
    <row r="2" ht="17.25" customHeight="1" s="300">
      <c r="A2" s="117" t="inlineStr">
        <is>
          <t>Sr #</t>
        </is>
      </c>
      <c r="B2" s="117" t="inlineStr">
        <is>
          <t>Category</t>
        </is>
      </c>
      <c r="C2" s="118" t="inlineStr">
        <is>
          <t>Components</t>
        </is>
      </c>
      <c r="D2" s="124" t="inlineStr">
        <is>
          <t>Road Map Items</t>
        </is>
      </c>
      <c r="E2" s="124" t="inlineStr">
        <is>
          <t>JIRA ID</t>
        </is>
      </c>
      <c r="F2" s="117" t="inlineStr">
        <is>
          <t>Originator</t>
        </is>
      </c>
      <c r="G2" s="117" t="inlineStr">
        <is>
          <t>Value</t>
        </is>
      </c>
      <c r="H2" s="119" t="inlineStr">
        <is>
          <t>Priority</t>
        </is>
      </c>
      <c r="I2" s="119" t="inlineStr">
        <is>
          <t>Priority</t>
        </is>
      </c>
      <c r="J2" s="119" t="inlineStr">
        <is>
          <t>Priority</t>
        </is>
      </c>
      <c r="K2" s="119" t="inlineStr">
        <is>
          <t>Priority</t>
        </is>
      </c>
      <c r="L2" s="119" t="inlineStr">
        <is>
          <t>Plan Status</t>
        </is>
      </c>
      <c r="M2" s="120" t="inlineStr">
        <is>
          <t>Prc Design</t>
        </is>
      </c>
      <c r="N2" s="120" t="inlineStr">
        <is>
          <t>R/URS</t>
        </is>
      </c>
      <c r="O2" s="120" t="inlineStr">
        <is>
          <t>R/DDS</t>
        </is>
      </c>
      <c r="P2" s="120" t="inlineStr">
        <is>
          <t>Dev</t>
        </is>
      </c>
      <c r="Q2" s="120" t="inlineStr">
        <is>
          <t>SQA</t>
        </is>
      </c>
      <c r="R2" s="120" t="inlineStr">
        <is>
          <t>Prc Test</t>
        </is>
      </c>
      <c r="S2" s="120" t="inlineStr">
        <is>
          <t>Doc</t>
        </is>
      </c>
      <c r="T2" s="120" t="inlineStr">
        <is>
          <t>Reg SQA</t>
        </is>
      </c>
      <c r="U2" s="120" t="inlineStr">
        <is>
          <t>Release</t>
        </is>
      </c>
      <c r="V2" s="121" t="inlineStr">
        <is>
          <t>Man Days</t>
        </is>
      </c>
      <c r="W2" s="122">
        <f>"Optimistic ("&amp;Summary!E7&amp;")"</f>
        <v/>
      </c>
      <c r="X2" s="122" t="inlineStr">
        <is>
          <t>Pessimistic (10%)</t>
        </is>
      </c>
      <c r="Y2" s="168" t="inlineStr">
        <is>
          <t>Est Formula</t>
        </is>
      </c>
      <c r="Z2" s="167" t="inlineStr">
        <is>
          <t>TK's TARGET</t>
        </is>
      </c>
      <c r="AA2" s="167" t="inlineStr">
        <is>
          <t>Start Date</t>
        </is>
      </c>
      <c r="AB2" s="167" t="inlineStr">
        <is>
          <t>Dev End</t>
        </is>
      </c>
      <c r="AC2" s="167" t="inlineStr">
        <is>
          <t>SQA HO</t>
        </is>
      </c>
      <c r="AD2" s="167" t="inlineStr">
        <is>
          <t>Prod Date</t>
        </is>
      </c>
      <c r="AE2" s="203" t="inlineStr">
        <is>
          <t>Prc Design</t>
        </is>
      </c>
      <c r="AF2" s="77" t="inlineStr">
        <is>
          <t>R/URS (5%)</t>
        </is>
      </c>
      <c r="AG2" s="77" t="inlineStr">
        <is>
          <t>R/DDS (10%)</t>
        </is>
      </c>
      <c r="AH2" s="77" t="inlineStr">
        <is>
          <t>Dev (40%)</t>
        </is>
      </c>
      <c r="AI2" s="77" t="inlineStr">
        <is>
          <t>SQA (15%)</t>
        </is>
      </c>
      <c r="AJ2" s="281" t="inlineStr">
        <is>
          <t>Bug Fixing (15%)</t>
        </is>
      </c>
      <c r="AK2" s="203" t="inlineStr">
        <is>
          <t>Prc Test</t>
        </is>
      </c>
      <c r="AL2" s="77" t="inlineStr">
        <is>
          <t>Doc (5%)</t>
        </is>
      </c>
      <c r="AM2" s="77" t="inlineStr">
        <is>
          <t>Reg SQA (10%)</t>
        </is>
      </c>
      <c r="AN2" s="203" t="inlineStr">
        <is>
          <t>Release</t>
        </is>
      </c>
      <c r="AO2" s="265" t="n"/>
    </row>
    <row r="3" ht="17.25" customHeight="1" s="300">
      <c r="A3" s="266" t="n">
        <v>1</v>
      </c>
      <c r="B3" s="317" t="inlineStr">
        <is>
          <t>Input</t>
        </is>
      </c>
      <c r="C3" s="319" t="inlineStr">
        <is>
          <t>Data Collector</t>
        </is>
      </c>
      <c r="D3" s="267" t="inlineStr">
        <is>
          <t>Journals for Web</t>
        </is>
      </c>
      <c r="E3" s="267" t="n"/>
      <c r="F3" s="266" t="inlineStr">
        <is>
          <t>Competitive</t>
        </is>
      </c>
      <c r="G3" s="266" t="n"/>
      <c r="H3" s="266" t="n"/>
      <c r="I3" s="266" t="n"/>
      <c r="J3" s="266" t="n"/>
      <c r="K3" s="266" t="n"/>
      <c r="L3" s="266" t="n"/>
      <c r="M3" s="266" t="n"/>
      <c r="N3" s="266" t="n">
        <v>1</v>
      </c>
      <c r="O3" s="268" t="n">
        <v>2</v>
      </c>
      <c r="P3" s="15" t="n">
        <v>23</v>
      </c>
      <c r="Q3" s="269" t="n">
        <v>2</v>
      </c>
      <c r="R3" s="266" t="n"/>
      <c r="S3" s="266" t="n">
        <v>3</v>
      </c>
      <c r="T3" s="266" t="n">
        <v>3</v>
      </c>
      <c r="U3" s="266" t="n">
        <v>1</v>
      </c>
      <c r="V3" s="270">
        <f>SUM(M3:U3)</f>
        <v/>
      </c>
      <c r="W3" s="271">
        <f>V3 - (V3 * (SUBSTITUTE(SUBSTITUTE($W$2, "Optimistic (", ""), "%)", "") / 100))</f>
        <v/>
      </c>
      <c r="X3" s="271">
        <f>V3 + (W3 * (SUBSTITUTE(SUBSTITUTE($W$2, "Optimistic (", ""), "%)", "") / 100))</f>
        <v/>
      </c>
      <c r="Y3" s="123">
        <f>(W3+(4*V3)+X3)/6</f>
        <v/>
      </c>
      <c r="Z3" s="204">
        <f>Y3/2</f>
        <v/>
      </c>
      <c r="AA3" s="181" t="n"/>
      <c r="AB3" s="181" t="n"/>
      <c r="AC3" s="184" t="n"/>
      <c r="AD3" s="181" t="n"/>
      <c r="AE3" s="200">
        <f>IF($Z3="",0,IF($M3="",0,$M3))</f>
        <v/>
      </c>
      <c r="AF3" s="200">
        <f>IF(OR($Z3="",$N3=""),0,$Z3*5%)</f>
        <v/>
      </c>
      <c r="AG3" s="200">
        <f>IF(OR($Z3="",$O3=""),0,$Z3*10%)</f>
        <v/>
      </c>
      <c r="AH3" s="200">
        <f>IF($Z3="",0,IF(AND($P3="",$Q3=""),($Z3-$AE3-$AF3-$AG3-$AJ3-$AK3-$AL3-$AM3-$AN3),IF($P3="",0,IF($Q3="",($Z3-$AE3-$AF3-$AG3-$AJ3-$AK3-$AL3-$AM3-$AN3),($Z3-$AE3-$AF3-$AG3-$AJ3-$AK3-$AL3-$AM3-$AN3)*40%/(40%+15%)))))</f>
        <v/>
      </c>
      <c r="AI3" s="200">
        <f>IF($Z3="",0,IF(AND($P3="",$Q3=""),0,IF($Q3="",0,IF($P3="",($Z3-$AE3-$AF3-$AG3-$AJ3-$AK3-$AL3-$AM3-$AN3),($Z3-$AE3-$AF3-$AG3-$AJ3-$AK3-$AL3-$AM3-$AN3)*15%/(40%+15%)))))</f>
        <v/>
      </c>
      <c r="AJ3" s="282">
        <f>IF($Z3="",0,$Z3*15%)</f>
        <v/>
      </c>
      <c r="AK3" s="200">
        <f>IF($Z3="",0,IF($R3="",0,$R3))</f>
        <v/>
      </c>
      <c r="AL3" s="200">
        <f>IF(OR($Z3="",$S3=""),0,$Z3*5%)</f>
        <v/>
      </c>
      <c r="AM3" s="200">
        <f>IF(OR($Z3="",$T3=""),0,$Z3*10%)</f>
        <v/>
      </c>
      <c r="AN3" s="200">
        <f>IF($Z3="",0,IF($U3="",0,$U3))</f>
        <v/>
      </c>
      <c r="AO3" s="265" t="n"/>
    </row>
    <row r="4" ht="17.25" customHeight="1" s="300">
      <c r="A4" s="266" t="n">
        <v>2</v>
      </c>
      <c r="B4" s="290" t="n"/>
      <c r="C4" s="290" t="n"/>
      <c r="D4" s="267" t="inlineStr">
        <is>
          <t>Journals for Mobile Android</t>
        </is>
      </c>
      <c r="E4" s="267" t="n"/>
      <c r="F4" s="266" t="inlineStr">
        <is>
          <t>Competitive</t>
        </is>
      </c>
      <c r="G4" s="266" t="n"/>
      <c r="H4" s="266" t="n"/>
      <c r="I4" s="266" t="n"/>
      <c r="J4" s="266" t="n"/>
      <c r="K4" s="266" t="n"/>
      <c r="L4" s="266" t="n"/>
      <c r="M4" s="266" t="n"/>
      <c r="N4" s="266" t="n">
        <v>1</v>
      </c>
      <c r="O4" s="268" t="n">
        <v>2</v>
      </c>
      <c r="P4" s="15" t="n">
        <v>23</v>
      </c>
      <c r="Q4" s="269" t="n">
        <v>2</v>
      </c>
      <c r="R4" s="266" t="n"/>
      <c r="S4" s="266" t="n">
        <v>3</v>
      </c>
      <c r="T4" s="266" t="n">
        <v>3</v>
      </c>
      <c r="U4" s="266" t="n">
        <v>1</v>
      </c>
      <c r="V4" s="270">
        <f>SUM(M4:U4)</f>
        <v/>
      </c>
      <c r="W4" s="271">
        <f>V4 - (V4 * (SUBSTITUTE(SUBSTITUTE($W$2, "Optimistic (", ""), "%)", "") / 100))</f>
        <v/>
      </c>
      <c r="X4" s="271">
        <f>V4 + (W4 * (SUBSTITUTE(SUBSTITUTE($W$2, "Optimistic (", ""), "%)", "") / 100))</f>
        <v/>
      </c>
      <c r="Y4" s="123">
        <f>(W4+(4*V4)+X4)/6</f>
        <v/>
      </c>
      <c r="Z4" s="201">
        <f>Y4/2</f>
        <v/>
      </c>
      <c r="AA4" s="181" t="n"/>
      <c r="AB4" s="181" t="n"/>
      <c r="AC4" s="184" t="n"/>
      <c r="AD4" s="179" t="n"/>
      <c r="AE4" s="200">
        <f>IF($Z4="",0,IF($M4="",0,$M4))</f>
        <v/>
      </c>
      <c r="AF4" s="200">
        <f>IF(OR($Z4="",$N4=""),0,$Z4*5%)</f>
        <v/>
      </c>
      <c r="AG4" s="200">
        <f>IF(OR($Z4="",$O4=""),0,$Z4*10%)</f>
        <v/>
      </c>
      <c r="AH4" s="200">
        <f>IF($Z4="",0,IF(AND($P4="",$Q4=""),($Z4-$AE4-$AF4-$AG4-$AJ4-$AK4-$AL4-$AM4-$AN4),IF($P4="",0,IF($Q4="",($Z4-$AE4-$AF4-$AG4-$AJ4-$AK4-$AL4-$AM4-$AN4),($Z4-$AE4-$AF4-$AG4-$AJ4-$AK4-$AL4-$AM4-$AN4)*40%/(40%+15%)))))</f>
        <v/>
      </c>
      <c r="AI4" s="200">
        <f>IF($Z4="",0,IF(AND($P4="",$Q4=""),0,IF($Q4="",0,IF($P4="",($Z4-$AE4-$AF4-$AG4-$AJ4-$AK4-$AL4-$AM4-$AN4),($Z4-$AE4-$AF4-$AG4-$AJ4-$AK4-$AL4-$AM4-$AN4)*15%/(40%+15%)))))</f>
        <v/>
      </c>
      <c r="AJ4" s="282">
        <f>IF($Z4="",0,$Z4*15%)</f>
        <v/>
      </c>
      <c r="AK4" s="200">
        <f>IF($Z4="",0,IF($R4="",0,$R4))</f>
        <v/>
      </c>
      <c r="AL4" s="200">
        <f>IF(OR($Z4="",$S4=""),0,$Z4*5%)</f>
        <v/>
      </c>
      <c r="AM4" s="200">
        <f>IF(OR($Z4="",$T4=""),0,$Z4*10%)</f>
        <v/>
      </c>
      <c r="AN4" s="200">
        <f>IF($Z4="",0,IF($U4="",0,$U4))</f>
        <v/>
      </c>
      <c r="AO4" s="265" t="n"/>
    </row>
    <row r="5" ht="17.25" customHeight="1" s="300">
      <c r="A5" s="266" t="n">
        <v>3</v>
      </c>
      <c r="B5" s="290" t="n"/>
      <c r="C5" s="290" t="n"/>
      <c r="D5" s="267" t="inlineStr">
        <is>
          <t>Mobile App iOS</t>
        </is>
      </c>
      <c r="E5" s="267" t="n"/>
      <c r="F5" s="266" t="inlineStr">
        <is>
          <t>Competitive</t>
        </is>
      </c>
      <c r="G5" s="266" t="n"/>
      <c r="H5" s="266" t="n"/>
      <c r="I5" s="266" t="n"/>
      <c r="J5" s="266" t="n"/>
      <c r="K5" s="266" t="n"/>
      <c r="L5" s="266" t="n"/>
      <c r="M5" s="266" t="n"/>
      <c r="N5" s="266" t="n">
        <v>1</v>
      </c>
      <c r="O5" s="268" t="n">
        <v>3</v>
      </c>
      <c r="P5" s="15" t="n">
        <v>10</v>
      </c>
      <c r="Q5" s="269" t="n">
        <v>10</v>
      </c>
      <c r="R5" s="266" t="n"/>
      <c r="S5" s="266" t="n">
        <v>5</v>
      </c>
      <c r="T5" s="266" t="n"/>
      <c r="U5" s="266" t="n">
        <v>5</v>
      </c>
      <c r="V5" s="270">
        <f>SUM(M5:U5)</f>
        <v/>
      </c>
      <c r="W5" s="271">
        <f>V5 - (V5 * (SUBSTITUTE(SUBSTITUTE($W$2, "Optimistic (", ""), "%)", "") / 100))</f>
        <v/>
      </c>
      <c r="X5" s="271">
        <f>V5 + (W5 * (SUBSTITUTE(SUBSTITUTE($W$2, "Optimistic (", ""), "%)", "") / 100))</f>
        <v/>
      </c>
      <c r="Y5" s="123">
        <f>(W5+(4*V5)+X5)/6</f>
        <v/>
      </c>
      <c r="Z5" s="201">
        <f>Y5/2</f>
        <v/>
      </c>
      <c r="AA5" s="178" t="n"/>
      <c r="AB5" s="178" t="n"/>
      <c r="AC5" s="178" t="n"/>
      <c r="AD5" s="179" t="n"/>
      <c r="AE5" s="200">
        <f>IF($Z5="",0,IF($M5="",0,$M5))</f>
        <v/>
      </c>
      <c r="AF5" s="200">
        <f>IF(OR($Z5="",$N5=""),0,$Z5*5%)</f>
        <v/>
      </c>
      <c r="AG5" s="200">
        <f>IF(OR($Z5="",$O5=""),0,$Z5*10%)</f>
        <v/>
      </c>
      <c r="AH5" s="200">
        <f>IF($Z5="",0,IF(AND($P5="",$Q5=""),($Z5-$AE5-$AF5-$AG5-$AJ5-$AK5-$AL5-$AM5-$AN5),IF($P5="",0,IF($Q5="",($Z5-$AE5-$AF5-$AG5-$AJ5-$AK5-$AL5-$AM5-$AN5),($Z5-$AE5-$AF5-$AG5-$AJ5-$AK5-$AL5-$AM5-$AN5)*40%/(40%+15%)))))</f>
        <v/>
      </c>
      <c r="AI5" s="200">
        <f>IF($Z5="",0,IF(AND($P5="",$Q5=""),0,IF($Q5="",0,IF($P5="",($Z5-$AE5-$AF5-$AG5-$AJ5-$AK5-$AL5-$AM5-$AN5),($Z5-$AE5-$AF5-$AG5-$AJ5-$AK5-$AL5-$AM5-$AN5)*15%/(40%+15%)))))</f>
        <v/>
      </c>
      <c r="AJ5" s="282">
        <f>IF($Z5="",0,$Z5*15%)</f>
        <v/>
      </c>
      <c r="AK5" s="200">
        <f>IF($Z5="",0,IF($R5="",0,$R5))</f>
        <v/>
      </c>
      <c r="AL5" s="200">
        <f>IF(OR($Z5="",$S5=""),0,$Z5*5%)</f>
        <v/>
      </c>
      <c r="AM5" s="200">
        <f>IF(OR($Z5="",$T5=""),0,$Z5*10%)</f>
        <v/>
      </c>
      <c r="AN5" s="200">
        <f>IF($Z5="",0,IF($U5="",0,$U5))</f>
        <v/>
      </c>
      <c r="AO5" s="265" t="n"/>
    </row>
    <row r="6" ht="17.25" customHeight="1" s="300">
      <c r="A6" s="266" t="n">
        <v>4</v>
      </c>
      <c r="B6" s="290" t="n"/>
      <c r="C6" s="290" t="n"/>
      <c r="D6" s="267" t="inlineStr">
        <is>
          <t>Journals for Mobile iOS</t>
        </is>
      </c>
      <c r="E6" s="267" t="n"/>
      <c r="F6" s="266" t="inlineStr">
        <is>
          <t>Competitive</t>
        </is>
      </c>
      <c r="G6" s="266" t="n"/>
      <c r="H6" s="266" t="n"/>
      <c r="I6" s="266" t="n"/>
      <c r="J6" s="266" t="n"/>
      <c r="K6" s="266" t="n"/>
      <c r="L6" s="266" t="n"/>
      <c r="M6" s="266" t="n"/>
      <c r="N6" s="266" t="n">
        <v>1</v>
      </c>
      <c r="O6" s="268" t="n">
        <v>1</v>
      </c>
      <c r="P6" s="15" t="n">
        <v>3</v>
      </c>
      <c r="Q6" s="269" t="n">
        <v>2</v>
      </c>
      <c r="R6" s="266" t="n"/>
      <c r="S6" s="266" t="n">
        <v>1</v>
      </c>
      <c r="T6" s="266" t="n">
        <v>3</v>
      </c>
      <c r="U6" s="266" t="n">
        <v>1</v>
      </c>
      <c r="V6" s="270">
        <f>SUM(M6:U6)</f>
        <v/>
      </c>
      <c r="W6" s="271">
        <f>V6 - (V6 * (SUBSTITUTE(SUBSTITUTE($W$2, "Optimistic (", ""), "%)", "") / 100))</f>
        <v/>
      </c>
      <c r="X6" s="271">
        <f>V6 + (W6 * (SUBSTITUTE(SUBSTITUTE($W$2, "Optimistic (", ""), "%)", "") / 100))</f>
        <v/>
      </c>
      <c r="Y6" s="123">
        <f>(W6+(4*V6)+X6)/6</f>
        <v/>
      </c>
      <c r="Z6" s="201">
        <f>Y6/2</f>
        <v/>
      </c>
      <c r="AA6" s="178" t="n"/>
      <c r="AB6" s="178" t="n"/>
      <c r="AC6" s="178" t="n"/>
      <c r="AD6" s="179" t="n"/>
      <c r="AE6" s="200">
        <f>IF($Z6="",0,IF($M6="",0,$M6))</f>
        <v/>
      </c>
      <c r="AF6" s="200">
        <f>IF(OR($Z6="",$N6=""),0,$Z6*5%)</f>
        <v/>
      </c>
      <c r="AG6" s="200">
        <f>IF(OR($Z6="",$O6=""),0,$Z6*10%)</f>
        <v/>
      </c>
      <c r="AH6" s="200">
        <f>IF($Z6="",0,IF(AND($P6="",$Q6=""),($Z6-$AE6-$AF6-$AG6-$AJ6-$AK6-$AL6-$AM6-$AN6),IF($P6="",0,IF($Q6="",($Z6-$AE6-$AF6-$AG6-$AJ6-$AK6-$AL6-$AM6-$AN6),($Z6-$AE6-$AF6-$AG6-$AJ6-$AK6-$AL6-$AM6-$AN6)*40%/(40%+15%)))))</f>
        <v/>
      </c>
      <c r="AI6" s="200">
        <f>IF($Z6="",0,IF(AND($P6="",$Q6=""),0,IF($Q6="",0,IF($P6="",($Z6-$AE6-$AF6-$AG6-$AJ6-$AK6-$AL6-$AM6-$AN6),($Z6-$AE6-$AF6-$AG6-$AJ6-$AK6-$AL6-$AM6-$AN6)*15%/(40%+15%)))))</f>
        <v/>
      </c>
      <c r="AJ6" s="282">
        <f>IF($Z6="",0,$Z6*15%)</f>
        <v/>
      </c>
      <c r="AK6" s="200">
        <f>IF($Z6="",0,IF($R6="",0,$R6))</f>
        <v/>
      </c>
      <c r="AL6" s="200">
        <f>IF(OR($Z6="",$S6=""),0,$Z6*5%)</f>
        <v/>
      </c>
      <c r="AM6" s="200">
        <f>IF(OR($Z6="",$T6=""),0,$Z6*10%)</f>
        <v/>
      </c>
      <c r="AN6" s="200">
        <f>IF($Z6="",0,IF($U6="",0,$U6))</f>
        <v/>
      </c>
      <c r="AO6" s="265" t="n"/>
    </row>
    <row r="7" ht="17.25" customHeight="1" s="300">
      <c r="A7" s="266" t="n">
        <v>5</v>
      </c>
      <c r="B7" s="290" t="n"/>
      <c r="C7" s="290" t="n"/>
      <c r="D7" s="267" t="inlineStr">
        <is>
          <t>User Remarks Traceability</t>
        </is>
      </c>
      <c r="E7" s="267" t="n"/>
      <c r="F7" s="266" t="inlineStr">
        <is>
          <t>Colgate</t>
        </is>
      </c>
      <c r="G7" s="266" t="n"/>
      <c r="H7" s="266" t="n"/>
      <c r="I7" s="266" t="n"/>
      <c r="J7" s="266" t="n"/>
      <c r="K7" s="266" t="n"/>
      <c r="L7" s="266" t="n"/>
      <c r="M7" s="266" t="n"/>
      <c r="N7" s="266" t="n">
        <v>1</v>
      </c>
      <c r="O7" s="268" t="n">
        <v>2</v>
      </c>
      <c r="P7" s="15" t="n">
        <v>15</v>
      </c>
      <c r="Q7" s="269" t="n">
        <v>3</v>
      </c>
      <c r="R7" s="266" t="n"/>
      <c r="S7" s="266" t="n">
        <v>2</v>
      </c>
      <c r="T7" s="266" t="n">
        <v>3</v>
      </c>
      <c r="U7" s="266" t="n">
        <v>1</v>
      </c>
      <c r="V7" s="270">
        <f>SUM(M7:U7)</f>
        <v/>
      </c>
      <c r="W7" s="271">
        <f>V7 - (V7 * (SUBSTITUTE(SUBSTITUTE($W$2, "Optimistic (", ""), "%)", "") / 100))</f>
        <v/>
      </c>
      <c r="X7" s="271">
        <f>V7 + (W7 * (SUBSTITUTE(SUBSTITUTE($W$2, "Optimistic (", ""), "%)", "") / 100))</f>
        <v/>
      </c>
      <c r="Y7" s="123">
        <f>(W7+(4*V7)+X7)/6</f>
        <v/>
      </c>
      <c r="Z7" s="201">
        <f>Y7/2</f>
        <v/>
      </c>
      <c r="AA7" s="178" t="n"/>
      <c r="AB7" s="178" t="n"/>
      <c r="AC7" s="178" t="n"/>
      <c r="AD7" s="179" t="n"/>
      <c r="AE7" s="200">
        <f>IF($Z7="",0,IF($M7="",0,$M7))</f>
        <v/>
      </c>
      <c r="AF7" s="200">
        <f>IF(OR($Z7="",$N7=""),0,$Z7*5%)</f>
        <v/>
      </c>
      <c r="AG7" s="200">
        <f>IF(OR($Z7="",$O7=""),0,$Z7*10%)</f>
        <v/>
      </c>
      <c r="AH7" s="200">
        <f>IF($Z7="",0,IF(AND($P7="",$Q7=""),($Z7-$AE7-$AF7-$AG7-$AJ7-$AK7-$AL7-$AM7-$AN7),IF($P7="",0,IF($Q7="",($Z7-$AE7-$AF7-$AG7-$AJ7-$AK7-$AL7-$AM7-$AN7),($Z7-$AE7-$AF7-$AG7-$AJ7-$AK7-$AL7-$AM7-$AN7)*40%/(40%+15%)))))</f>
        <v/>
      </c>
      <c r="AI7" s="200">
        <f>IF($Z7="",0,IF(AND($P7="",$Q7=""),0,IF($Q7="",0,IF($P7="",($Z7-$AE7-$AF7-$AG7-$AJ7-$AK7-$AL7-$AM7-$AN7),($Z7-$AE7-$AF7-$AG7-$AJ7-$AK7-$AL7-$AM7-$AN7)*15%/(40%+15%)))))</f>
        <v/>
      </c>
      <c r="AJ7" s="282">
        <f>IF($Z7="",0,$Z7*15%)</f>
        <v/>
      </c>
      <c r="AK7" s="200">
        <f>IF($Z7="",0,IF($R7="",0,$R7))</f>
        <v/>
      </c>
      <c r="AL7" s="200">
        <f>IF(OR($Z7="",$S7=""),0,$Z7*5%)</f>
        <v/>
      </c>
      <c r="AM7" s="200">
        <f>IF(OR($Z7="",$T7=""),0,$Z7*10%)</f>
        <v/>
      </c>
      <c r="AN7" s="200">
        <f>IF($Z7="",0,IF($U7="",0,$U7))</f>
        <v/>
      </c>
      <c r="AO7" s="265" t="n"/>
    </row>
    <row r="8" ht="17.25" customHeight="1" s="300">
      <c r="A8" s="266" t="n">
        <v>6</v>
      </c>
      <c r="B8" s="290" t="n"/>
      <c r="C8" s="290" t="n"/>
      <c r="D8" s="267" t="inlineStr">
        <is>
          <t>Calculated tags</t>
        </is>
      </c>
      <c r="E8" s="267" t="n"/>
      <c r="F8" s="266" t="inlineStr">
        <is>
          <t>Client Feedback - Demo</t>
        </is>
      </c>
      <c r="G8" s="266" t="n"/>
      <c r="H8" s="266" t="n"/>
      <c r="I8" s="266" t="n"/>
      <c r="J8" s="266" t="n"/>
      <c r="K8" s="266" t="n"/>
      <c r="L8" s="266" t="n"/>
      <c r="M8" s="266" t="n"/>
      <c r="N8" s="266" t="n">
        <v>2</v>
      </c>
      <c r="O8" s="268" t="n">
        <v>3</v>
      </c>
      <c r="P8" s="15" t="n">
        <v>38</v>
      </c>
      <c r="Q8" s="269" t="n">
        <v>5</v>
      </c>
      <c r="R8" s="266" t="n"/>
      <c r="S8" s="266" t="n">
        <v>3</v>
      </c>
      <c r="T8" s="266" t="n"/>
      <c r="U8" s="266" t="n"/>
      <c r="V8" s="270">
        <f>SUM(M8:U8)</f>
        <v/>
      </c>
      <c r="W8" s="271">
        <f>V8 - (V8 * (SUBSTITUTE(SUBSTITUTE($W$2, "Optimistic (", ""), "%)", "") / 100))</f>
        <v/>
      </c>
      <c r="X8" s="271">
        <f>V8 + (W8 * (SUBSTITUTE(SUBSTITUTE($W$2, "Optimistic (", ""), "%)", "") / 100))</f>
        <v/>
      </c>
      <c r="Y8" s="123">
        <f>(W8+(4*V8)+X8)/6</f>
        <v/>
      </c>
      <c r="Z8" s="201">
        <f>Y8/2</f>
        <v/>
      </c>
      <c r="AA8" s="178" t="n"/>
      <c r="AB8" s="178" t="n"/>
      <c r="AC8" s="178" t="n"/>
      <c r="AD8" s="179" t="n"/>
      <c r="AE8" s="200">
        <f>IF($Z8="",0,IF($M8="",0,$M8))</f>
        <v/>
      </c>
      <c r="AF8" s="200">
        <f>IF(OR($Z8="",$N8=""),0,$Z8*5%)</f>
        <v/>
      </c>
      <c r="AG8" s="200">
        <f>IF(OR($Z8="",$O8=""),0,$Z8*10%)</f>
        <v/>
      </c>
      <c r="AH8" s="200">
        <f>IF($Z8="",0,IF(AND($P8="",$Q8=""),($Z8-$AE8-$AF8-$AG8-$AJ8-$AK8-$AL8-$AM8-$AN8),IF($P8="",0,IF($Q8="",($Z8-$AE8-$AF8-$AG8-$AJ8-$AK8-$AL8-$AM8-$AN8),($Z8-$AE8-$AF8-$AG8-$AJ8-$AK8-$AL8-$AM8-$AN8)*40%/(40%+15%)))))</f>
        <v/>
      </c>
      <c r="AI8" s="200">
        <f>IF($Z8="",0,IF(AND($P8="",$Q8=""),0,IF($Q8="",0,IF($P8="",($Z8-$AE8-$AF8-$AG8-$AJ8-$AK8-$AL8-$AM8-$AN8),($Z8-$AE8-$AF8-$AG8-$AJ8-$AK8-$AL8-$AM8-$AN8)*15%/(40%+15%)))))</f>
        <v/>
      </c>
      <c r="AJ8" s="282">
        <f>IF($Z8="",0,$Z8*15%)</f>
        <v/>
      </c>
      <c r="AK8" s="200">
        <f>IF($Z8="",0,IF($R8="",0,$R8))</f>
        <v/>
      </c>
      <c r="AL8" s="200">
        <f>IF(OR($Z8="",$S8=""),0,$Z8*5%)</f>
        <v/>
      </c>
      <c r="AM8" s="200">
        <f>IF(OR($Z8="",$T8=""),0,$Z8*10%)</f>
        <v/>
      </c>
      <c r="AN8" s="200">
        <f>IF($Z8="",0,IF($U8="",0,$U8))</f>
        <v/>
      </c>
      <c r="AO8" s="265" t="n"/>
    </row>
    <row r="9" ht="17.25" customHeight="1" s="300">
      <c r="A9" s="266" t="n">
        <v>7</v>
      </c>
      <c r="B9" s="290" t="n"/>
      <c r="C9" s="290" t="n"/>
      <c r="D9" s="267" t="inlineStr">
        <is>
          <t>Attachments at remarks from approver1, approver2</t>
        </is>
      </c>
      <c r="E9" s="267" t="n"/>
      <c r="F9" s="266" t="inlineStr">
        <is>
          <t>Ashghal</t>
        </is>
      </c>
      <c r="G9" s="266" t="n"/>
      <c r="H9" s="266" t="n"/>
      <c r="I9" s="266" t="n"/>
      <c r="J9" s="266" t="n"/>
      <c r="K9" s="266" t="n"/>
      <c r="L9" s="266" t="n"/>
      <c r="M9" s="266" t="n"/>
      <c r="N9" s="266" t="n"/>
      <c r="O9" s="268" t="n"/>
      <c r="P9" s="15" t="n">
        <v>15</v>
      </c>
      <c r="Q9" s="269" t="n">
        <v>3</v>
      </c>
      <c r="R9" s="266" t="n"/>
      <c r="S9" s="266" t="n">
        <v>2</v>
      </c>
      <c r="T9" s="266" t="n"/>
      <c r="U9" s="266" t="n"/>
      <c r="V9" s="270">
        <f>SUM(M9:U9)</f>
        <v/>
      </c>
      <c r="W9" s="271">
        <f>V9 - (V9 * (SUBSTITUTE(SUBSTITUTE($W$2, "Optimistic (", ""), "%)", "") / 100))</f>
        <v/>
      </c>
      <c r="X9" s="271">
        <f>V9 + (W9 * (SUBSTITUTE(SUBSTITUTE($W$2, "Optimistic (", ""), "%)", "") / 100))</f>
        <v/>
      </c>
      <c r="Y9" s="123">
        <f>(W9+(4*V9)+X9)/6</f>
        <v/>
      </c>
      <c r="Z9" s="201">
        <f>Y9/2</f>
        <v/>
      </c>
      <c r="AA9" s="178" t="n"/>
      <c r="AB9" s="178" t="n"/>
      <c r="AC9" s="178" t="n"/>
      <c r="AD9" s="179" t="n"/>
      <c r="AE9" s="200">
        <f>IF($Z9="",0,IF($M9="",0,$M9))</f>
        <v/>
      </c>
      <c r="AF9" s="200">
        <f>IF(OR($Z9="",$N9=""),0,$Z9*5%)</f>
        <v/>
      </c>
      <c r="AG9" s="200">
        <f>IF(OR($Z9="",$O9=""),0,$Z9*10%)</f>
        <v/>
      </c>
      <c r="AH9" s="200">
        <f>IF($Z9="",0,IF(AND($P9="",$Q9=""),($Z9-$AE9-$AF9-$AG9-$AJ9-$AK9-$AL9-$AM9-$AN9),IF($P9="",0,IF($Q9="",($Z9-$AE9-$AF9-$AG9-$AJ9-$AK9-$AL9-$AM9-$AN9),($Z9-$AE9-$AF9-$AG9-$AJ9-$AK9-$AL9-$AM9-$AN9)*40%/(40%+15%)))))</f>
        <v/>
      </c>
      <c r="AI9" s="200">
        <f>IF($Z9="",0,IF(AND($P9="",$Q9=""),0,IF($Q9="",0,IF($P9="",($Z9-$AE9-$AF9-$AG9-$AJ9-$AK9-$AL9-$AM9-$AN9),($Z9-$AE9-$AF9-$AG9-$AJ9-$AK9-$AL9-$AM9-$AN9)*15%/(40%+15%)))))</f>
        <v/>
      </c>
      <c r="AJ9" s="282">
        <f>IF($Z9="",0,$Z9*15%)</f>
        <v/>
      </c>
      <c r="AK9" s="200">
        <f>IF($Z9="",0,IF($R9="",0,$R9))</f>
        <v/>
      </c>
      <c r="AL9" s="200">
        <f>IF(OR($Z9="",$S9=""),0,$Z9*5%)</f>
        <v/>
      </c>
      <c r="AM9" s="200">
        <f>IF(OR($Z9="",$T9=""),0,$Z9*10%)</f>
        <v/>
      </c>
      <c r="AN9" s="200">
        <f>IF($Z9="",0,IF($U9="",0,$U9))</f>
        <v/>
      </c>
      <c r="AO9" s="265" t="n"/>
    </row>
    <row r="10" ht="17.25" customHeight="1" s="300">
      <c r="A10" s="266" t="n">
        <v>8</v>
      </c>
      <c r="B10" s="290" t="n"/>
      <c r="C10" s="290" t="n"/>
      <c r="D10" s="267" t="inlineStr">
        <is>
          <t>Delete option to admin (to delete unclaimed checklists) Data Collector -&gt; Inbox</t>
        </is>
      </c>
      <c r="E10" s="267" t="n"/>
      <c r="F10" s="272" t="inlineStr">
        <is>
          <t>EVTL</t>
        </is>
      </c>
      <c r="G10" s="266" t="n"/>
      <c r="H10" s="266" t="n"/>
      <c r="I10" s="266" t="n"/>
      <c r="J10" s="266" t="n"/>
      <c r="K10" s="266" t="n"/>
      <c r="L10" s="266" t="n"/>
      <c r="M10" s="266" t="n"/>
      <c r="N10" s="266" t="n">
        <v>1</v>
      </c>
      <c r="O10" s="268" t="n">
        <v>1</v>
      </c>
      <c r="P10" s="15" t="n">
        <v>8</v>
      </c>
      <c r="Q10" s="269" t="n">
        <v>2</v>
      </c>
      <c r="R10" s="266" t="n"/>
      <c r="S10" s="266" t="n">
        <v>1</v>
      </c>
      <c r="T10" s="266" t="n"/>
      <c r="U10" s="266" t="n"/>
      <c r="V10" s="270">
        <f>SUM(M10:U10)</f>
        <v/>
      </c>
      <c r="W10" s="271">
        <f>V10 - (V10 * (SUBSTITUTE(SUBSTITUTE($W$2, "Optimistic (", ""), "%)", "") / 100))</f>
        <v/>
      </c>
      <c r="X10" s="271">
        <f>V10 + (W10 * (SUBSTITUTE(SUBSTITUTE($W$2, "Optimistic (", ""), "%)", "") / 100))</f>
        <v/>
      </c>
      <c r="Y10" s="123">
        <f>(W10+(4*V10)+X10)/6</f>
        <v/>
      </c>
      <c r="Z10" s="201">
        <f>Y10/2</f>
        <v/>
      </c>
      <c r="AA10" s="178" t="n"/>
      <c r="AB10" s="178" t="n"/>
      <c r="AC10" s="178" t="n"/>
      <c r="AD10" s="179" t="n"/>
      <c r="AE10" s="200">
        <f>IF($Z10="",0,IF($M10="",0,$M10))</f>
        <v/>
      </c>
      <c r="AF10" s="200">
        <f>IF(OR($Z10="",$N10=""),0,$Z10*5%)</f>
        <v/>
      </c>
      <c r="AG10" s="200">
        <f>IF(OR($Z10="",$O10=""),0,$Z10*10%)</f>
        <v/>
      </c>
      <c r="AH10" s="200">
        <f>IF($Z10="",0,IF(AND($P10="",$Q10=""),($Z10-$AE10-$AF10-$AG10-$AJ10-$AK10-$AL10-$AM10-$AN10),IF($P10="",0,IF($Q10="",($Z10-$AE10-$AF10-$AG10-$AJ10-$AK10-$AL10-$AM10-$AN10),($Z10-$AE10-$AF10-$AG10-$AJ10-$AK10-$AL10-$AM10-$AN10)*40%/(40%+15%)))))</f>
        <v/>
      </c>
      <c r="AI10" s="200">
        <f>IF($Z10="",0,IF(AND($P10="",$Q10=""),0,IF($Q10="",0,IF($P10="",($Z10-$AE10-$AF10-$AG10-$AJ10-$AK10-$AL10-$AM10-$AN10),($Z10-$AE10-$AF10-$AG10-$AJ10-$AK10-$AL10-$AM10-$AN10)*15%/(40%+15%)))))</f>
        <v/>
      </c>
      <c r="AJ10" s="282">
        <f>IF($Z10="",0,$Z10*15%)</f>
        <v/>
      </c>
      <c r="AK10" s="200">
        <f>IF($Z10="",0,IF($R10="",0,$R10))</f>
        <v/>
      </c>
      <c r="AL10" s="200">
        <f>IF(OR($Z10="",$S10=""),0,$Z10*5%)</f>
        <v/>
      </c>
      <c r="AM10" s="200">
        <f>IF(OR($Z10="",$T10=""),0,$Z10*10%)</f>
        <v/>
      </c>
      <c r="AN10" s="200">
        <f>IF($Z10="",0,IF($U10="",0,$U10))</f>
        <v/>
      </c>
      <c r="AO10" s="265" t="n"/>
    </row>
    <row r="11" ht="17.25" customHeight="1" s="300">
      <c r="A11" s="266" t="n">
        <v>9</v>
      </c>
      <c r="B11" s="290" t="n"/>
      <c r="C11" s="290" t="n"/>
      <c r="D11" s="267" t="inlineStr">
        <is>
          <t>Attachment pic with each Checklist (, audio, video, pdf, etc)</t>
        </is>
      </c>
      <c r="E11" s="267" t="n"/>
      <c r="F11" s="266" t="inlineStr">
        <is>
          <t>Client Feedback - Demo</t>
        </is>
      </c>
      <c r="G11" s="266" t="n"/>
      <c r="H11" s="266" t="n"/>
      <c r="I11" s="266" t="n"/>
      <c r="J11" s="266" t="n"/>
      <c r="K11" s="266" t="n"/>
      <c r="L11" s="266" t="n"/>
      <c r="M11" s="266" t="n"/>
      <c r="N11" s="266" t="n"/>
      <c r="O11" s="268" t="n"/>
      <c r="P11" s="15" t="n">
        <v>13</v>
      </c>
      <c r="Q11" s="269" t="n">
        <v>3</v>
      </c>
      <c r="R11" s="266" t="n"/>
      <c r="S11" s="266" t="n">
        <v>1</v>
      </c>
      <c r="T11" s="266" t="n"/>
      <c r="U11" s="266" t="n"/>
      <c r="V11" s="270">
        <f>SUM(M11:U11)</f>
        <v/>
      </c>
      <c r="W11" s="271">
        <f>V11 - (V11 * (SUBSTITUTE(SUBSTITUTE($W$2, "Optimistic (", ""), "%)", "") / 100))</f>
        <v/>
      </c>
      <c r="X11" s="271">
        <f>V11 + (W11 * (SUBSTITUTE(SUBSTITUTE($W$2, "Optimistic (", ""), "%)", "") / 100))</f>
        <v/>
      </c>
      <c r="Y11" s="123">
        <f>(W11+(4*V11)+X11)/6</f>
        <v/>
      </c>
      <c r="Z11" s="201">
        <f>Y11/2</f>
        <v/>
      </c>
      <c r="AA11" s="178" t="n"/>
      <c r="AB11" s="178" t="n"/>
      <c r="AC11" s="178" t="n"/>
      <c r="AD11" s="179" t="n"/>
      <c r="AE11" s="200">
        <f>IF($Z11="",0,IF($M11="",0,$M11))</f>
        <v/>
      </c>
      <c r="AF11" s="200">
        <f>IF(OR($Z11="",$N11=""),0,$Z11*5%)</f>
        <v/>
      </c>
      <c r="AG11" s="200">
        <f>IF(OR($Z11="",$O11=""),0,$Z11*10%)</f>
        <v/>
      </c>
      <c r="AH11" s="200">
        <f>IF($Z11="",0,IF(AND($P11="",$Q11=""),($Z11-$AE11-$AF11-$AG11-$AJ11-$AK11-$AL11-$AM11-$AN11),IF($P11="",0,IF($Q11="",($Z11-$AE11-$AF11-$AG11-$AJ11-$AK11-$AL11-$AM11-$AN11),($Z11-$AE11-$AF11-$AG11-$AJ11-$AK11-$AL11-$AM11-$AN11)*40%/(40%+15%)))))</f>
        <v/>
      </c>
      <c r="AI11" s="200">
        <f>IF($Z11="",0,IF(AND($P11="",$Q11=""),0,IF($Q11="",0,IF($P11="",($Z11-$AE11-$AF11-$AG11-$AJ11-$AK11-$AL11-$AM11-$AN11),($Z11-$AE11-$AF11-$AG11-$AJ11-$AK11-$AL11-$AM11-$AN11)*15%/(40%+15%)))))</f>
        <v/>
      </c>
      <c r="AJ11" s="282">
        <f>IF($Z11="",0,$Z11*15%)</f>
        <v/>
      </c>
      <c r="AK11" s="200">
        <f>IF($Z11="",0,IF($R11="",0,$R11))</f>
        <v/>
      </c>
      <c r="AL11" s="200">
        <f>IF(OR($Z11="",$S11=""),0,$Z11*5%)</f>
        <v/>
      </c>
      <c r="AM11" s="200">
        <f>IF(OR($Z11="",$T11=""),0,$Z11*10%)</f>
        <v/>
      </c>
      <c r="AN11" s="200">
        <f>IF($Z11="",0,IF($U11="",0,$U11))</f>
        <v/>
      </c>
      <c r="AO11" s="265" t="n"/>
    </row>
    <row r="12" ht="17.25" customHeight="1" s="300">
      <c r="A12" s="266" t="n">
        <v>10</v>
      </c>
      <c r="B12" s="290" t="n"/>
      <c r="C12" s="290" t="n"/>
      <c r="D12" s="267" t="inlineStr">
        <is>
          <t>Validation of Values to be within defined threshold</t>
        </is>
      </c>
      <c r="E12" s="267" t="n"/>
      <c r="F12" s="266" t="inlineStr">
        <is>
          <t>RnD</t>
        </is>
      </c>
      <c r="G12" s="266" t="n"/>
      <c r="H12" s="266" t="n"/>
      <c r="I12" s="266" t="n"/>
      <c r="J12" s="266" t="n"/>
      <c r="K12" s="266" t="n"/>
      <c r="L12" s="266" t="n"/>
      <c r="M12" s="266" t="n"/>
      <c r="N12" s="266" t="n"/>
      <c r="O12" s="268" t="n"/>
      <c r="P12" s="15" t="n">
        <v>10</v>
      </c>
      <c r="Q12" s="269" t="n">
        <v>3</v>
      </c>
      <c r="R12" s="266" t="n"/>
      <c r="S12" s="266" t="n">
        <v>2</v>
      </c>
      <c r="T12" s="266" t="n"/>
      <c r="U12" s="266" t="n"/>
      <c r="V12" s="270">
        <f>SUM(M12:U12)</f>
        <v/>
      </c>
      <c r="W12" s="271">
        <f>V12 - (V12 * (SUBSTITUTE(SUBSTITUTE($W$2, "Optimistic (", ""), "%)", "") / 100))</f>
        <v/>
      </c>
      <c r="X12" s="271">
        <f>V12 + (W12 * (SUBSTITUTE(SUBSTITUTE($W$2, "Optimistic (", ""), "%)", "") / 100))</f>
        <v/>
      </c>
      <c r="Y12" s="123">
        <f>(W12+(4*V12)+X12)/6</f>
        <v/>
      </c>
      <c r="Z12" s="201">
        <f>Y12/2</f>
        <v/>
      </c>
      <c r="AA12" s="178" t="n"/>
      <c r="AB12" s="178" t="n"/>
      <c r="AC12" s="178" t="n"/>
      <c r="AD12" s="179" t="n"/>
      <c r="AE12" s="200">
        <f>IF($Z12="",0,IF($M12="",0,$M12))</f>
        <v/>
      </c>
      <c r="AF12" s="200">
        <f>IF(OR($Z12="",$N12=""),0,$Z12*5%)</f>
        <v/>
      </c>
      <c r="AG12" s="200">
        <f>IF(OR($Z12="",$O12=""),0,$Z12*10%)</f>
        <v/>
      </c>
      <c r="AH12" s="200">
        <f>IF($Z12="",0,IF(AND($P12="",$Q12=""),($Z12-$AE12-$AF12-$AG12-$AJ12-$AK12-$AL12-$AM12-$AN12),IF($P12="",0,IF($Q12="",($Z12-$AE12-$AF12-$AG12-$AJ12-$AK12-$AL12-$AM12-$AN12),($Z12-$AE12-$AF12-$AG12-$AJ12-$AK12-$AL12-$AM12-$AN12)*40%/(40%+15%)))))</f>
        <v/>
      </c>
      <c r="AI12" s="200">
        <f>IF($Z12="",0,IF(AND($P12="",$Q12=""),0,IF($Q12="",0,IF($P12="",($Z12-$AE12-$AF12-$AG12-$AJ12-$AK12-$AL12-$AM12-$AN12),($Z12-$AE12-$AF12-$AG12-$AJ12-$AK12-$AL12-$AM12-$AN12)*15%/(40%+15%)))))</f>
        <v/>
      </c>
      <c r="AJ12" s="282">
        <f>IF($Z12="",0,$Z12*15%)</f>
        <v/>
      </c>
      <c r="AK12" s="200">
        <f>IF($Z12="",0,IF($R12="",0,$R12))</f>
        <v/>
      </c>
      <c r="AL12" s="200">
        <f>IF(OR($Z12="",$S12=""),0,$Z12*5%)</f>
        <v/>
      </c>
      <c r="AM12" s="200">
        <f>IF(OR($Z12="",$T12=""),0,$Z12*10%)</f>
        <v/>
      </c>
      <c r="AN12" s="200">
        <f>IF($Z12="",0,IF($U12="",0,$U12))</f>
        <v/>
      </c>
      <c r="AO12" s="265" t="n"/>
    </row>
    <row r="13" ht="17.25" customHeight="1" s="300">
      <c r="A13" s="266" t="n">
        <v>11</v>
      </c>
      <c r="B13" s="290" t="n"/>
      <c r="C13" s="290" t="n"/>
      <c r="D13" s="267" t="inlineStr">
        <is>
          <t>Return &amp; Re-Approval param values and comments traceability</t>
        </is>
      </c>
      <c r="E13" s="230" t="inlineStr">
        <is>
          <t>https://octopusdtlsupport.atlassian.net/browse/DIGITALLOG-221</t>
        </is>
      </c>
      <c r="F13" s="266" t="inlineStr">
        <is>
          <t>Colgate</t>
        </is>
      </c>
      <c r="G13" s="266" t="n"/>
      <c r="H13" s="266" t="n"/>
      <c r="I13" s="266" t="n"/>
      <c r="J13" s="266" t="n"/>
      <c r="K13" s="266" t="n"/>
      <c r="L13" s="266" t="n"/>
      <c r="M13" s="266" t="n"/>
      <c r="N13" s="266" t="n">
        <v>1</v>
      </c>
      <c r="O13" s="268" t="n">
        <v>1</v>
      </c>
      <c r="P13" s="15" t="n">
        <v>15</v>
      </c>
      <c r="Q13" s="269" t="n">
        <v>7</v>
      </c>
      <c r="R13" s="266" t="n"/>
      <c r="S13" s="266" t="n">
        <v>1</v>
      </c>
      <c r="T13" s="266" t="n"/>
      <c r="U13" s="266" t="n">
        <v>1</v>
      </c>
      <c r="V13" s="270">
        <f>SUM(M13:U13)</f>
        <v/>
      </c>
      <c r="W13" s="273">
        <f>V13 - (V13 * (SUBSTITUTE(SUBSTITUTE($W$2, "Optimistic (", ""), "%)", "") / 100))</f>
        <v/>
      </c>
      <c r="X13" s="273">
        <f>V13 + (W13 * (SUBSTITUTE(SUBSTITUTE($W$2, "Optimistic (", ""), "%)", "") / 100))</f>
        <v/>
      </c>
      <c r="Y13" s="209">
        <f>(W13+(4*V13)+X13)/6</f>
        <v/>
      </c>
      <c r="Z13" s="210">
        <f>Y13/2</f>
        <v/>
      </c>
      <c r="AA13" s="211" t="n">
        <v>46113</v>
      </c>
      <c r="AB13" s="211" t="n">
        <v>46120</v>
      </c>
      <c r="AC13" s="212" t="n">
        <v>46121</v>
      </c>
      <c r="AD13" s="223" t="n">
        <v>46139</v>
      </c>
      <c r="AE13" s="200">
        <f>IF($Z13="",0,IF($M13="",0,$M13))</f>
        <v/>
      </c>
      <c r="AF13" s="200">
        <f>IF(OR($Z13="",$N13=""),0,$Z13*5%)</f>
        <v/>
      </c>
      <c r="AG13" s="200">
        <f>IF(OR($Z13="",$O13=""),0,$Z13*10%)</f>
        <v/>
      </c>
      <c r="AH13" s="200">
        <f>IF($Z13="",0,IF(AND($P13="",$Q13=""),($Z13-$AE13-$AF13-$AG13-$AJ13-$AK13-$AL13-$AM13-$AN13),IF($P13="",0,IF($Q13="",($Z13-$AE13-$AF13-$AG13-$AJ13-$AK13-$AL13-$AM13-$AN13),($Z13-$AE13-$AF13-$AG13-$AJ13-$AK13-$AL13-$AM13-$AN13)*40%/(40%+15%)))))</f>
        <v/>
      </c>
      <c r="AI13" s="200">
        <f>IF($Z13="",0,IF(AND($P13="",$Q13=""),0,IF($Q13="",0,IF($P13="",($Z13-$AE13-$AF13-$AG13-$AJ13-$AK13-$AL13-$AM13-$AN13),($Z13-$AE13-$AF13-$AG13-$AJ13-$AK13-$AL13-$AM13-$AN13)*15%/(40%+15%)))))</f>
        <v/>
      </c>
      <c r="AJ13" s="282">
        <f>IF($Z13="",0,$Z13*15%)</f>
        <v/>
      </c>
      <c r="AK13" s="200">
        <f>IF($Z13="",0,IF($R13="",0,$R13))</f>
        <v/>
      </c>
      <c r="AL13" s="200">
        <f>IF(OR($Z13="",$S13=""),0,$Z13*5%)</f>
        <v/>
      </c>
      <c r="AM13" s="200">
        <f>IF(OR($Z13="",$T13=""),0,$Z13*10%)</f>
        <v/>
      </c>
      <c r="AN13" s="200">
        <f>IF($Z13="",0,IF($U13="",0,$U13))</f>
        <v/>
      </c>
      <c r="AO13" s="265" t="n"/>
    </row>
    <row r="14" ht="17.25" customHeight="1" s="300">
      <c r="A14" s="266" t="n">
        <v>12</v>
      </c>
      <c r="B14" s="290" t="n"/>
      <c r="C14" s="288" t="n"/>
      <c r="D14" s="267" t="inlineStr">
        <is>
          <t xml:space="preserve">Digital Signatures (Like DocuSign idea) </t>
        </is>
      </c>
      <c r="E14" s="230" t="inlineStr">
        <is>
          <t>https://octopusdtlsupport.atlassian.net/browse/DIGITALLOG-223</t>
        </is>
      </c>
      <c r="F14" s="266" t="inlineStr">
        <is>
          <t>Competitive</t>
        </is>
      </c>
      <c r="G14" s="266" t="n"/>
      <c r="H14" s="266" t="n"/>
      <c r="I14" s="266" t="n"/>
      <c r="J14" s="266" t="n"/>
      <c r="K14" s="266" t="n"/>
      <c r="L14" s="266" t="n"/>
      <c r="M14" s="266" t="n"/>
      <c r="N14" s="266" t="n">
        <v>1</v>
      </c>
      <c r="O14" s="268" t="n">
        <v>2</v>
      </c>
      <c r="P14" s="15" t="n">
        <v>13</v>
      </c>
      <c r="Q14" s="269" t="n">
        <v>3</v>
      </c>
      <c r="R14" s="266" t="n"/>
      <c r="S14" s="266" t="n">
        <v>2</v>
      </c>
      <c r="T14" s="266" t="n"/>
      <c r="U14" s="266" t="n">
        <v>1</v>
      </c>
      <c r="V14" s="270">
        <f>SUM(M14:U14)</f>
        <v/>
      </c>
      <c r="W14" s="273">
        <f>V14 - (V14 * (SUBSTITUTE(SUBSTITUTE($W$2, "Optimistic (", ""), "%)", "") / 100))</f>
        <v/>
      </c>
      <c r="X14" s="273">
        <f>V14 + (W14 * (SUBSTITUTE(SUBSTITUTE($W$2, "Optimistic (", ""), "%)", "") / 100))</f>
        <v/>
      </c>
      <c r="Y14" s="209">
        <f>(W14+(4*V14)+X14)/6</f>
        <v/>
      </c>
      <c r="Z14" s="210">
        <f>Y14/2</f>
        <v/>
      </c>
      <c r="AA14" s="211" t="n">
        <v>46121</v>
      </c>
      <c r="AB14" s="211" t="n">
        <v>46125</v>
      </c>
      <c r="AC14" s="212" t="n">
        <v>46126</v>
      </c>
      <c r="AD14" s="223" t="n">
        <v>46139</v>
      </c>
      <c r="AE14" s="200">
        <f>IF($Z14="",0,IF($M14="",0,$M14))</f>
        <v/>
      </c>
      <c r="AF14" s="200">
        <f>IF(OR($Z14="",$N14=""),0,$Z14*5%)</f>
        <v/>
      </c>
      <c r="AG14" s="200">
        <f>IF(OR($Z14="",$O14=""),0,$Z14*10%)</f>
        <v/>
      </c>
      <c r="AH14" s="200">
        <f>IF($Z14="",0,IF(AND($P14="",$Q14=""),($Z14-$AE14-$AF14-$AG14-$AJ14-$AK14-$AL14-$AM14-$AN14),IF($P14="",0,IF($Q14="",($Z14-$AE14-$AF14-$AG14-$AJ14-$AK14-$AL14-$AM14-$AN14),($Z14-$AE14-$AF14-$AG14-$AJ14-$AK14-$AL14-$AM14-$AN14)*40%/(40%+15%)))))</f>
        <v/>
      </c>
      <c r="AI14" s="200">
        <f>IF($Z14="",0,IF(AND($P14="",$Q14=""),0,IF($Q14="",0,IF($P14="",($Z14-$AE14-$AF14-$AG14-$AJ14-$AK14-$AL14-$AM14-$AN14),($Z14-$AE14-$AF14-$AG14-$AJ14-$AK14-$AL14-$AM14-$AN14)*15%/(40%+15%)))))</f>
        <v/>
      </c>
      <c r="AJ14" s="282">
        <f>IF($Z14="",0,$Z14*15%)</f>
        <v/>
      </c>
      <c r="AK14" s="200">
        <f>IF($Z14="",0,IF($R14="",0,$R14))</f>
        <v/>
      </c>
      <c r="AL14" s="200">
        <f>IF(OR($Z14="",$S14=""),0,$Z14*5%)</f>
        <v/>
      </c>
      <c r="AM14" s="200">
        <f>IF(OR($Z14="",$T14=""),0,$Z14*10%)</f>
        <v/>
      </c>
      <c r="AN14" s="200">
        <f>IF($Z14="",0,IF($U14="",0,$U14))</f>
        <v/>
      </c>
      <c r="AO14" s="265" t="n"/>
    </row>
    <row r="15" ht="17.25" customHeight="1" s="300">
      <c r="A15" s="266" t="n">
        <v>13</v>
      </c>
      <c r="B15" s="290" t="n"/>
      <c r="C15" s="317" t="inlineStr">
        <is>
          <t>Hierarchy Builder</t>
        </is>
      </c>
      <c r="D15" s="267" t="inlineStr">
        <is>
          <t>Import &amp; export of assets hierarchy</t>
        </is>
      </c>
      <c r="E15" s="267" t="n"/>
      <c r="F15" s="266" t="inlineStr">
        <is>
          <t>Client Feedback - Demo</t>
        </is>
      </c>
      <c r="G15" s="266" t="n"/>
      <c r="H15" s="266" t="n"/>
      <c r="I15" s="266" t="n"/>
      <c r="J15" s="266" t="n"/>
      <c r="K15" s="266" t="n"/>
      <c r="L15" s="266" t="n"/>
      <c r="M15" s="266" t="n"/>
      <c r="N15" s="266" t="n">
        <v>2</v>
      </c>
      <c r="O15" s="268" t="n">
        <v>3</v>
      </c>
      <c r="P15" s="15" t="n">
        <v>25</v>
      </c>
      <c r="Q15" s="269" t="n">
        <v>5</v>
      </c>
      <c r="R15" s="266" t="n"/>
      <c r="S15" s="266" t="n">
        <v>3</v>
      </c>
      <c r="T15" s="266" t="n"/>
      <c r="U15" s="266" t="n"/>
      <c r="V15" s="270">
        <f>SUM(M15:U15)</f>
        <v/>
      </c>
      <c r="W15" s="271">
        <f>V15 - (V15 * (SUBSTITUTE(SUBSTITUTE($W$2, "Optimistic (", ""), "%)", "") / 100))</f>
        <v/>
      </c>
      <c r="X15" s="271">
        <f>V15 + (W15 * (SUBSTITUTE(SUBSTITUTE($W$2, "Optimistic (", ""), "%)", "") / 100))</f>
        <v/>
      </c>
      <c r="Y15" s="123">
        <f>(W15+(4*V15)+X15)/6</f>
        <v/>
      </c>
      <c r="Z15" s="201">
        <f>Y15/2</f>
        <v/>
      </c>
      <c r="AA15" s="178" t="n"/>
      <c r="AB15" s="178" t="n"/>
      <c r="AC15" s="178" t="n"/>
      <c r="AD15" s="179" t="n"/>
      <c r="AE15" s="200">
        <f>IF($Z15="",0,IF($M15="",0,$M15))</f>
        <v/>
      </c>
      <c r="AF15" s="200">
        <f>IF(OR($Z15="",$N15=""),0,$Z15*5%)</f>
        <v/>
      </c>
      <c r="AG15" s="200">
        <f>IF(OR($Z15="",$O15=""),0,$Z15*10%)</f>
        <v/>
      </c>
      <c r="AH15" s="200">
        <f>IF($Z15="",0,IF(AND($P15="",$Q15=""),($Z15-$AE15-$AF15-$AG15-$AJ15-$AK15-$AL15-$AM15-$AN15),IF($P15="",0,IF($Q15="",($Z15-$AE15-$AF15-$AG15-$AJ15-$AK15-$AL15-$AM15-$AN15),($Z15-$AE15-$AF15-$AG15-$AJ15-$AK15-$AL15-$AM15-$AN15)*40%/(40%+15%)))))</f>
        <v/>
      </c>
      <c r="AI15" s="200">
        <f>IF($Z15="",0,IF(AND($P15="",$Q15=""),0,IF($Q15="",0,IF($P15="",($Z15-$AE15-$AF15-$AG15-$AJ15-$AK15-$AL15-$AM15-$AN15),($Z15-$AE15-$AF15-$AG15-$AJ15-$AK15-$AL15-$AM15-$AN15)*15%/(40%+15%)))))</f>
        <v/>
      </c>
      <c r="AJ15" s="282">
        <f>IF($Z15="",0,$Z15*15%)</f>
        <v/>
      </c>
      <c r="AK15" s="200">
        <f>IF($Z15="",0,IF($R15="",0,$R15))</f>
        <v/>
      </c>
      <c r="AL15" s="200">
        <f>IF(OR($Z15="",$S15=""),0,$Z15*5%)</f>
        <v/>
      </c>
      <c r="AM15" s="200">
        <f>IF(OR($Z15="",$T15=""),0,$Z15*10%)</f>
        <v/>
      </c>
      <c r="AN15" s="200">
        <f>IF($Z15="",0,IF($U15="",0,$U15))</f>
        <v/>
      </c>
      <c r="AO15" s="265" t="n"/>
    </row>
    <row r="16" ht="17.25" customHeight="1" s="300">
      <c r="A16" s="266" t="n">
        <v>14</v>
      </c>
      <c r="B16" s="290" t="n"/>
      <c r="C16" s="317" t="inlineStr">
        <is>
          <t>Checklist Builder</t>
        </is>
      </c>
      <c r="D16" s="267" t="inlineStr">
        <is>
          <t>Import &amp; export of checklists</t>
        </is>
      </c>
      <c r="E16" s="267" t="n"/>
      <c r="F16" s="266" t="inlineStr">
        <is>
          <t>Client Feedback - Demo</t>
        </is>
      </c>
      <c r="G16" s="266" t="n"/>
      <c r="H16" s="266" t="n"/>
      <c r="I16" s="266" t="n"/>
      <c r="J16" s="266" t="n"/>
      <c r="K16" s="266" t="n"/>
      <c r="L16" s="266" t="n"/>
      <c r="M16" s="266" t="n"/>
      <c r="N16" s="266" t="n">
        <v>2</v>
      </c>
      <c r="O16" s="268" t="n">
        <v>3</v>
      </c>
      <c r="P16" s="15" t="n">
        <v>25</v>
      </c>
      <c r="Q16" s="269" t="n">
        <v>5</v>
      </c>
      <c r="R16" s="266" t="n"/>
      <c r="S16" s="266" t="n">
        <v>3</v>
      </c>
      <c r="T16" s="266" t="n"/>
      <c r="U16" s="266" t="n"/>
      <c r="V16" s="270">
        <f>SUM(M16:U16)</f>
        <v/>
      </c>
      <c r="W16" s="271">
        <f>V16 - (V16 * (SUBSTITUTE(SUBSTITUTE($W$2, "Optimistic (", ""), "%)", "") / 100))</f>
        <v/>
      </c>
      <c r="X16" s="271">
        <f>V16 + (W16 * (SUBSTITUTE(SUBSTITUTE($W$2, "Optimistic (", ""), "%)", "") / 100))</f>
        <v/>
      </c>
      <c r="Y16" s="123">
        <f>(W16+(4*V16)+X16)/6</f>
        <v/>
      </c>
      <c r="Z16" s="201">
        <f>Y16/2</f>
        <v/>
      </c>
      <c r="AA16" s="178" t="n"/>
      <c r="AB16" s="178" t="n"/>
      <c r="AC16" s="178" t="n"/>
      <c r="AD16" s="179" t="n"/>
      <c r="AE16" s="200">
        <f>IF($Z16="",0,IF($M16="",0,$M16))</f>
        <v/>
      </c>
      <c r="AF16" s="200">
        <f>IF(OR($Z16="",$N16=""),0,$Z16*5%)</f>
        <v/>
      </c>
      <c r="AG16" s="200">
        <f>IF(OR($Z16="",$O16=""),0,$Z16*10%)</f>
        <v/>
      </c>
      <c r="AH16" s="200">
        <f>IF($Z16="",0,IF(AND($P16="",$Q16=""),($Z16-$AE16-$AF16-$AG16-$AJ16-$AK16-$AL16-$AM16-$AN16),IF($P16="",0,IF($Q16="",($Z16-$AE16-$AF16-$AG16-$AJ16-$AK16-$AL16-$AM16-$AN16),($Z16-$AE16-$AF16-$AG16-$AJ16-$AK16-$AL16-$AM16-$AN16)*40%/(40%+15%)))))</f>
        <v/>
      </c>
      <c r="AI16" s="200">
        <f>IF($Z16="",0,IF(AND($P16="",$Q16=""),0,IF($Q16="",0,IF($P16="",($Z16-$AE16-$AF16-$AG16-$AJ16-$AK16-$AL16-$AM16-$AN16),($Z16-$AE16-$AF16-$AG16-$AJ16-$AK16-$AL16-$AM16-$AN16)*15%/(40%+15%)))))</f>
        <v/>
      </c>
      <c r="AJ16" s="282">
        <f>IF($Z16="",0,$Z16*15%)</f>
        <v/>
      </c>
      <c r="AK16" s="200">
        <f>IF($Z16="",0,IF($R16="",0,$R16))</f>
        <v/>
      </c>
      <c r="AL16" s="200">
        <f>IF(OR($Z16="",$S16=""),0,$Z16*5%)</f>
        <v/>
      </c>
      <c r="AM16" s="200">
        <f>IF(OR($Z16="",$T16=""),0,$Z16*10%)</f>
        <v/>
      </c>
      <c r="AN16" s="200">
        <f>IF($Z16="",0,IF($U16="",0,$U16))</f>
        <v/>
      </c>
      <c r="AO16" s="265" t="n"/>
    </row>
    <row r="17" ht="17.25" customHeight="1" s="300">
      <c r="A17" s="266" t="n">
        <v>15</v>
      </c>
      <c r="B17" s="288" t="n"/>
      <c r="C17" s="317" t="inlineStr">
        <is>
          <t>Parameter Builder</t>
        </is>
      </c>
      <c r="D17" s="267" t="inlineStr">
        <is>
          <t>Bulk creation of parameters through importing CSV file(s) (User can develop a template of parameters and then can use for multiple areas/assets)</t>
        </is>
      </c>
      <c r="E17" s="267" t="n"/>
      <c r="F17" s="266" t="inlineStr">
        <is>
          <t>Client Feedback - Demo</t>
        </is>
      </c>
      <c r="G17" s="266" t="n"/>
      <c r="H17" s="266" t="n"/>
      <c r="I17" s="266" t="n"/>
      <c r="J17" s="266" t="n"/>
      <c r="K17" s="266" t="n"/>
      <c r="L17" s="266" t="n"/>
      <c r="M17" s="266" t="n"/>
      <c r="N17" s="266" t="n">
        <v>2</v>
      </c>
      <c r="O17" s="268" t="n">
        <v>3</v>
      </c>
      <c r="P17" s="15" t="n">
        <v>20</v>
      </c>
      <c r="Q17" s="269" t="n">
        <v>5</v>
      </c>
      <c r="R17" s="266" t="n"/>
      <c r="S17" s="266" t="n">
        <v>3</v>
      </c>
      <c r="T17" s="266" t="n"/>
      <c r="U17" s="266" t="n"/>
      <c r="V17" s="270">
        <f>SUM(M17:U17)</f>
        <v/>
      </c>
      <c r="W17" s="271">
        <f>V17 - (V17 * (SUBSTITUTE(SUBSTITUTE($W$2, "Optimistic (", ""), "%)", "") / 100))</f>
        <v/>
      </c>
      <c r="X17" s="271">
        <f>V17 + (W17 * (SUBSTITUTE(SUBSTITUTE($W$2, "Optimistic (", ""), "%)", "") / 100))</f>
        <v/>
      </c>
      <c r="Y17" s="123">
        <f>(W17+(4*V17)+X17)/6</f>
        <v/>
      </c>
      <c r="Z17" s="201">
        <f>Y17/2</f>
        <v/>
      </c>
      <c r="AA17" s="178" t="n"/>
      <c r="AB17" s="178" t="n"/>
      <c r="AC17" s="178" t="n"/>
      <c r="AD17" s="179" t="n"/>
      <c r="AE17" s="200">
        <f>IF($Z17="",0,IF($M17="",0,$M17))</f>
        <v/>
      </c>
      <c r="AF17" s="200">
        <f>IF(OR($Z17="",$N17=""),0,$Z17*5%)</f>
        <v/>
      </c>
      <c r="AG17" s="200">
        <f>IF(OR($Z17="",$O17=""),0,$Z17*10%)</f>
        <v/>
      </c>
      <c r="AH17" s="200">
        <f>IF($Z17="",0,IF(AND($P17="",$Q17=""),($Z17-$AE17-$AF17-$AG17-$AJ17-$AK17-$AL17-$AM17-$AN17),IF($P17="",0,IF($Q17="",($Z17-$AE17-$AF17-$AG17-$AJ17-$AK17-$AL17-$AM17-$AN17),($Z17-$AE17-$AF17-$AG17-$AJ17-$AK17-$AL17-$AM17-$AN17)*40%/(40%+15%)))))</f>
        <v/>
      </c>
      <c r="AI17" s="200">
        <f>IF($Z17="",0,IF(AND($P17="",$Q17=""),0,IF($Q17="",0,IF($P17="",($Z17-$AE17-$AF17-$AG17-$AJ17-$AK17-$AL17-$AM17-$AN17),($Z17-$AE17-$AF17-$AG17-$AJ17-$AK17-$AL17-$AM17-$AN17)*15%/(40%+15%)))))</f>
        <v/>
      </c>
      <c r="AJ17" s="282">
        <f>IF($Z17="",0,$Z17*15%)</f>
        <v/>
      </c>
      <c r="AK17" s="200">
        <f>IF($Z17="",0,IF($R17="",0,$R17))</f>
        <v/>
      </c>
      <c r="AL17" s="200">
        <f>IF(OR($Z17="",$S17=""),0,$Z17*5%)</f>
        <v/>
      </c>
      <c r="AM17" s="200">
        <f>IF(OR($Z17="",$T17=""),0,$Z17*10%)</f>
        <v/>
      </c>
      <c r="AN17" s="200">
        <f>IF($Z17="",0,IF($U17="",0,$U17))</f>
        <v/>
      </c>
      <c r="AO17" s="265" t="n"/>
    </row>
    <row r="18" ht="17.25" customHeight="1" s="300">
      <c r="A18" s="266" t="n">
        <v>16</v>
      </c>
      <c r="B18" s="317" t="inlineStr">
        <is>
          <t>Enrichment</t>
        </is>
      </c>
      <c r="C18" s="319" t="inlineStr">
        <is>
          <t>Audits</t>
        </is>
      </c>
      <c r="D18" s="125" t="inlineStr">
        <is>
          <t>Automated Record of actions taken</t>
        </is>
      </c>
      <c r="E18" s="125" t="n"/>
      <c r="F18" s="266" t="inlineStr">
        <is>
          <t>Competitive</t>
        </is>
      </c>
      <c r="G18" s="266" t="n"/>
      <c r="H18" s="266" t="n"/>
      <c r="I18" s="266" t="n"/>
      <c r="J18" s="266" t="n"/>
      <c r="K18" s="266" t="n"/>
      <c r="L18" s="266" t="n"/>
      <c r="M18" s="266" t="n"/>
      <c r="N18" s="266" t="n">
        <v>1</v>
      </c>
      <c r="O18" s="268" t="n">
        <v>2</v>
      </c>
      <c r="P18" s="15" t="n">
        <v>33</v>
      </c>
      <c r="Q18" s="269" t="n">
        <v>2</v>
      </c>
      <c r="R18" s="266" t="n"/>
      <c r="S18" s="266" t="n">
        <v>3</v>
      </c>
      <c r="T18" s="266" t="n">
        <v>3</v>
      </c>
      <c r="U18" s="266" t="n">
        <v>1</v>
      </c>
      <c r="V18" s="270">
        <f>SUM(M18:U18)</f>
        <v/>
      </c>
      <c r="W18" s="271">
        <f>V18 - (V18 * (SUBSTITUTE(SUBSTITUTE($W$2, "Optimistic (", ""), "%)", "") / 100))</f>
        <v/>
      </c>
      <c r="X18" s="271">
        <f>V18 + (W18 * (SUBSTITUTE(SUBSTITUTE($W$2, "Optimistic (", ""), "%)", "") / 100))</f>
        <v/>
      </c>
      <c r="Y18" s="123">
        <f>(W18+(4*V18)+X18)/6</f>
        <v/>
      </c>
      <c r="Z18" s="201">
        <f>Y18/2</f>
        <v/>
      </c>
      <c r="AA18" s="178" t="n"/>
      <c r="AB18" s="178" t="n"/>
      <c r="AC18" s="178" t="n"/>
      <c r="AD18" s="179" t="n"/>
      <c r="AE18" s="200">
        <f>IF($Z18="",0,IF($M18="",0,$M18))</f>
        <v/>
      </c>
      <c r="AF18" s="200">
        <f>IF(OR($Z18="",$N18=""),0,$Z18*5%)</f>
        <v/>
      </c>
      <c r="AG18" s="200">
        <f>IF(OR($Z18="",$O18=""),0,$Z18*10%)</f>
        <v/>
      </c>
      <c r="AH18" s="200">
        <f>IF($Z18="",0,IF(AND($P18="",$Q18=""),($Z18-$AE18-$AF18-$AG18-$AJ18-$AK18-$AL18-$AM18-$AN18),IF($P18="",0,IF($Q18="",($Z18-$AE18-$AF18-$AG18-$AJ18-$AK18-$AL18-$AM18-$AN18),($Z18-$AE18-$AF18-$AG18-$AJ18-$AK18-$AL18-$AM18-$AN18)*40%/(40%+15%)))))</f>
        <v/>
      </c>
      <c r="AI18" s="200">
        <f>IF($Z18="",0,IF(AND($P18="",$Q18=""),0,IF($Q18="",0,IF($P18="",($Z18-$AE18-$AF18-$AG18-$AJ18-$AK18-$AL18-$AM18-$AN18),($Z18-$AE18-$AF18-$AG18-$AJ18-$AK18-$AL18-$AM18-$AN18)*15%/(40%+15%)))))</f>
        <v/>
      </c>
      <c r="AJ18" s="282">
        <f>IF($Z18="",0,$Z18*15%)</f>
        <v/>
      </c>
      <c r="AK18" s="200">
        <f>IF($Z18="",0,IF($R18="",0,$R18))</f>
        <v/>
      </c>
      <c r="AL18" s="200">
        <f>IF(OR($Z18="",$S18=""),0,$Z18*5%)</f>
        <v/>
      </c>
      <c r="AM18" s="200">
        <f>IF(OR($Z18="",$T18=""),0,$Z18*10%)</f>
        <v/>
      </c>
      <c r="AN18" s="200">
        <f>IF($Z18="",0,IF($U18="",0,$U18))</f>
        <v/>
      </c>
      <c r="AO18" s="265" t="n"/>
    </row>
    <row r="19" ht="17.25" customHeight="1" s="300">
      <c r="A19" s="266" t="n">
        <v>17</v>
      </c>
      <c r="B19" s="290" t="n"/>
      <c r="C19" s="319" t="inlineStr">
        <is>
          <t>WorkFlows</t>
        </is>
      </c>
      <c r="D19" s="125" t="inlineStr">
        <is>
          <t>Automated Triggered O&amp;M Actions</t>
        </is>
      </c>
      <c r="E19" s="125" t="n"/>
      <c r="F19" s="266" t="inlineStr">
        <is>
          <t>Competitive</t>
        </is>
      </c>
      <c r="G19" s="266" t="n"/>
      <c r="H19" s="266" t="n"/>
      <c r="I19" s="266" t="n"/>
      <c r="J19" s="266" t="n"/>
      <c r="K19" s="266" t="n"/>
      <c r="L19" s="266" t="n"/>
      <c r="M19" s="266" t="n"/>
      <c r="N19" s="266" t="n">
        <v>1</v>
      </c>
      <c r="O19" s="268" t="n">
        <v>2</v>
      </c>
      <c r="P19" s="15" t="n">
        <v>17</v>
      </c>
      <c r="Q19" s="269" t="n">
        <v>2</v>
      </c>
      <c r="R19" s="266" t="n"/>
      <c r="S19" s="266" t="n">
        <v>3</v>
      </c>
      <c r="T19" s="266" t="n">
        <v>3</v>
      </c>
      <c r="U19" s="266" t="n">
        <v>1</v>
      </c>
      <c r="V19" s="270">
        <f>SUM(M19:U19)</f>
        <v/>
      </c>
      <c r="W19" s="271">
        <f>V19 - (V19 * (SUBSTITUTE(SUBSTITUTE($W$2, "Optimistic (", ""), "%)", "") / 100))</f>
        <v/>
      </c>
      <c r="X19" s="271">
        <f>V19 + (W19 * (SUBSTITUTE(SUBSTITUTE($W$2, "Optimistic (", ""), "%)", "") / 100))</f>
        <v/>
      </c>
      <c r="Y19" s="123">
        <f>(W19+(4*V19)+X19)/6</f>
        <v/>
      </c>
      <c r="Z19" s="201">
        <f>Y19/2</f>
        <v/>
      </c>
      <c r="AA19" s="178" t="n"/>
      <c r="AB19" s="178" t="n"/>
      <c r="AC19" s="178" t="n"/>
      <c r="AD19" s="179" t="n"/>
      <c r="AE19" s="200">
        <f>IF($Z19="",0,IF($M19="",0,$M19))</f>
        <v/>
      </c>
      <c r="AF19" s="200">
        <f>IF(OR($Z19="",$N19=""),0,$Z19*5%)</f>
        <v/>
      </c>
      <c r="AG19" s="200">
        <f>IF(OR($Z19="",$O19=""),0,$Z19*10%)</f>
        <v/>
      </c>
      <c r="AH19" s="200">
        <f>IF($Z19="",0,IF(AND($P19="",$Q19=""),($Z19-$AE19-$AF19-$AG19-$AJ19-$AK19-$AL19-$AM19-$AN19),IF($P19="",0,IF($Q19="",($Z19-$AE19-$AF19-$AG19-$AJ19-$AK19-$AL19-$AM19-$AN19),($Z19-$AE19-$AF19-$AG19-$AJ19-$AK19-$AL19-$AM19-$AN19)*40%/(40%+15%)))))</f>
        <v/>
      </c>
      <c r="AI19" s="200">
        <f>IF($Z19="",0,IF(AND($P19="",$Q19=""),0,IF($Q19="",0,IF($P19="",($Z19-$AE19-$AF19-$AG19-$AJ19-$AK19-$AL19-$AM19-$AN19),($Z19-$AE19-$AF19-$AG19-$AJ19-$AK19-$AL19-$AM19-$AN19)*15%/(40%+15%)))))</f>
        <v/>
      </c>
      <c r="AJ19" s="282">
        <f>IF($Z19="",0,$Z19*15%)</f>
        <v/>
      </c>
      <c r="AK19" s="200">
        <f>IF($Z19="",0,IF($R19="",0,$R19))</f>
        <v/>
      </c>
      <c r="AL19" s="200">
        <f>IF(OR($Z19="",$S19=""),0,$Z19*5%)</f>
        <v/>
      </c>
      <c r="AM19" s="200">
        <f>IF(OR($Z19="",$T19=""),0,$Z19*10%)</f>
        <v/>
      </c>
      <c r="AN19" s="200">
        <f>IF($Z19="",0,IF($U19="",0,$U19))</f>
        <v/>
      </c>
      <c r="AO19" s="265" t="n"/>
    </row>
    <row r="20" ht="17.25" customHeight="1" s="300">
      <c r="A20" s="266" t="n">
        <v>18</v>
      </c>
      <c r="B20" s="290" t="n"/>
      <c r="C20" s="319" t="inlineStr">
        <is>
          <t>Holiday</t>
        </is>
      </c>
      <c r="D20" s="198" t="inlineStr">
        <is>
          <t>Holiday wrt Start and End Time</t>
        </is>
      </c>
      <c r="E20" s="198" t="n"/>
      <c r="F20" s="266" t="inlineStr">
        <is>
          <t>Colgate</t>
        </is>
      </c>
      <c r="G20" s="266" t="n"/>
      <c r="H20" s="266" t="n"/>
      <c r="I20" s="266" t="n"/>
      <c r="J20" s="266" t="n"/>
      <c r="K20" s="266" t="n"/>
      <c r="L20" s="266" t="n"/>
      <c r="M20" s="266" t="n"/>
      <c r="N20" s="266" t="n">
        <v>1</v>
      </c>
      <c r="O20" s="268" t="n">
        <v>1</v>
      </c>
      <c r="P20" s="15" t="n">
        <v>11</v>
      </c>
      <c r="Q20" s="269" t="n">
        <v>1</v>
      </c>
      <c r="R20" s="266" t="n"/>
      <c r="S20" s="266" t="n">
        <v>2</v>
      </c>
      <c r="T20" s="266" t="n">
        <v>3</v>
      </c>
      <c r="U20" s="266" t="n">
        <v>1</v>
      </c>
      <c r="V20" s="270">
        <f>SUM(M20:U20)</f>
        <v/>
      </c>
      <c r="W20" s="271">
        <f>V20 - (V20 * (SUBSTITUTE(SUBSTITUTE($W$2, "Optimistic (", ""), "%)", "") / 100))</f>
        <v/>
      </c>
      <c r="X20" s="271">
        <f>V20 + (W20 * (SUBSTITUTE(SUBSTITUTE($W$2, "Optimistic (", ""), "%)", "") / 100))</f>
        <v/>
      </c>
      <c r="Y20" s="123">
        <f>(W20+(4*V20)+X20)/6</f>
        <v/>
      </c>
      <c r="Z20" s="201">
        <f>Y20/2</f>
        <v/>
      </c>
      <c r="AA20" s="181" t="n"/>
      <c r="AB20" s="181" t="n"/>
      <c r="AC20" s="184" t="n"/>
      <c r="AD20" s="179" t="n"/>
      <c r="AE20" s="200">
        <f>IF($Z20="",0,IF($M20="",0,$M20))</f>
        <v/>
      </c>
      <c r="AF20" s="200">
        <f>IF(OR($Z20="",$N20=""),0,$Z20*5%)</f>
        <v/>
      </c>
      <c r="AG20" s="200">
        <f>IF(OR($Z20="",$O20=""),0,$Z20*10%)</f>
        <v/>
      </c>
      <c r="AH20" s="200">
        <f>IF($Z20="",0,IF(AND($P20="",$Q20=""),($Z20-$AE20-$AF20-$AG20-$AJ20-$AK20-$AL20-$AM20-$AN20),IF($P20="",0,IF($Q20="",($Z20-$AE20-$AF20-$AG20-$AJ20-$AK20-$AL20-$AM20-$AN20),($Z20-$AE20-$AF20-$AG20-$AJ20-$AK20-$AL20-$AM20-$AN20)*40%/(40%+15%)))))</f>
        <v/>
      </c>
      <c r="AI20" s="200">
        <f>IF($Z20="",0,IF(AND($P20="",$Q20=""),0,IF($Q20="",0,IF($P20="",($Z20-$AE20-$AF20-$AG20-$AJ20-$AK20-$AL20-$AM20-$AN20),($Z20-$AE20-$AF20-$AG20-$AJ20-$AK20-$AL20-$AM20-$AN20)*15%/(40%+15%)))))</f>
        <v/>
      </c>
      <c r="AJ20" s="282">
        <f>IF($Z20="",0,$Z20*15%)</f>
        <v/>
      </c>
      <c r="AK20" s="200">
        <f>IF($Z20="",0,IF($R20="",0,$R20))</f>
        <v/>
      </c>
      <c r="AL20" s="200">
        <f>IF(OR($Z20="",$S20=""),0,$Z20*5%)</f>
        <v/>
      </c>
      <c r="AM20" s="200">
        <f>IF(OR($Z20="",$T20=""),0,$Z20*10%)</f>
        <v/>
      </c>
      <c r="AN20" s="200">
        <f>IF($Z20="",0,IF($U20="",0,$U20))</f>
        <v/>
      </c>
      <c r="AO20" s="265" t="n"/>
    </row>
    <row r="21" ht="17.25" customHeight="1" s="300">
      <c r="A21" s="266" t="n">
        <v>19</v>
      </c>
      <c r="B21" s="290" t="n"/>
      <c r="C21" s="317" t="inlineStr">
        <is>
          <t>Scheduling</t>
        </is>
      </c>
      <c r="D21" s="267" t="inlineStr">
        <is>
          <t>Triggering of checklist instance on some event (we have scheduled checklist feature &amp; it is triggered on given frequency)</t>
        </is>
      </c>
      <c r="E21" s="267" t="n"/>
      <c r="F21" s="266" t="inlineStr">
        <is>
          <t>Client Feedback - Demo</t>
        </is>
      </c>
      <c r="G21" s="266" t="n"/>
      <c r="H21" s="266" t="n"/>
      <c r="I21" s="266" t="n"/>
      <c r="J21" s="266" t="n"/>
      <c r="K21" s="266" t="n"/>
      <c r="L21" s="266" t="n"/>
      <c r="M21" s="266" t="n"/>
      <c r="N21" s="266" t="n">
        <v>1</v>
      </c>
      <c r="O21" s="268" t="n">
        <v>2</v>
      </c>
      <c r="P21" s="15" t="n">
        <v>25</v>
      </c>
      <c r="Q21" s="269" t="n">
        <v>3</v>
      </c>
      <c r="R21" s="266" t="n"/>
      <c r="S21" s="266" t="n">
        <v>2</v>
      </c>
      <c r="T21" s="266" t="n"/>
      <c r="U21" s="266" t="n"/>
      <c r="V21" s="270">
        <f>SUM(M21:U21)</f>
        <v/>
      </c>
      <c r="W21" s="271">
        <f>V21 - (V21 * (SUBSTITUTE(SUBSTITUTE($W$2, "Optimistic (", ""), "%)", "") / 100))</f>
        <v/>
      </c>
      <c r="X21" s="271">
        <f>V21 + (W21 * (SUBSTITUTE(SUBSTITUTE($W$2, "Optimistic (", ""), "%)", "") / 100))</f>
        <v/>
      </c>
      <c r="Y21" s="123">
        <f>(W21+(4*V21)+X21)/6</f>
        <v/>
      </c>
      <c r="Z21" s="201">
        <f>Y21/2</f>
        <v/>
      </c>
      <c r="AA21" s="178" t="n"/>
      <c r="AB21" s="178" t="n"/>
      <c r="AC21" s="178" t="n"/>
      <c r="AD21" s="179" t="n"/>
      <c r="AE21" s="200">
        <f>IF($Z21="",0,IF($M21="",0,$M21))</f>
        <v/>
      </c>
      <c r="AF21" s="200">
        <f>IF(OR($Z21="",$N21=""),0,$Z21*5%)</f>
        <v/>
      </c>
      <c r="AG21" s="200">
        <f>IF(OR($Z21="",$O21=""),0,$Z21*10%)</f>
        <v/>
      </c>
      <c r="AH21" s="200">
        <f>IF($Z21="",0,IF(AND($P21="",$Q21=""),($Z21-$AE21-$AF21-$AG21-$AJ21-$AK21-$AL21-$AM21-$AN21),IF($P21="",0,IF($Q21="",($Z21-$AE21-$AF21-$AG21-$AJ21-$AK21-$AL21-$AM21-$AN21),($Z21-$AE21-$AF21-$AG21-$AJ21-$AK21-$AL21-$AM21-$AN21)*40%/(40%+15%)))))</f>
        <v/>
      </c>
      <c r="AI21" s="200">
        <f>IF($Z21="",0,IF(AND($P21="",$Q21=""),0,IF($Q21="",0,IF($P21="",($Z21-$AE21-$AF21-$AG21-$AJ21-$AK21-$AL21-$AM21-$AN21),($Z21-$AE21-$AF21-$AG21-$AJ21-$AK21-$AL21-$AM21-$AN21)*15%/(40%+15%)))))</f>
        <v/>
      </c>
      <c r="AJ21" s="282">
        <f>IF($Z21="",0,$Z21*15%)</f>
        <v/>
      </c>
      <c r="AK21" s="200">
        <f>IF($Z21="",0,IF($R21="",0,$R21))</f>
        <v/>
      </c>
      <c r="AL21" s="200">
        <f>IF(OR($Z21="",$S21=""),0,$Z21*5%)</f>
        <v/>
      </c>
      <c r="AM21" s="200">
        <f>IF(OR($Z21="",$T21=""),0,$Z21*10%)</f>
        <v/>
      </c>
      <c r="AN21" s="200">
        <f>IF($Z21="",0,IF($U21="",0,$U21))</f>
        <v/>
      </c>
      <c r="AO21" s="265" t="n"/>
    </row>
    <row r="22" ht="17.25" customHeight="1" s="300">
      <c r="A22" s="266" t="n">
        <v>20</v>
      </c>
      <c r="B22" s="290" t="n"/>
      <c r="C22" s="288" t="n"/>
      <c r="D22" s="267" t="inlineStr">
        <is>
          <t>User Specified Time based Checklist Scheduling</t>
        </is>
      </c>
      <c r="E22" s="230" t="inlineStr">
        <is>
          <t>https://octopusdtlsupport.atlassian.net/browse/DIGITALLOG-222</t>
        </is>
      </c>
      <c r="F22" s="266" t="inlineStr">
        <is>
          <t>Colgate</t>
        </is>
      </c>
      <c r="G22" s="266" t="n"/>
      <c r="H22" s="266" t="n"/>
      <c r="I22" s="266" t="n"/>
      <c r="J22" s="266" t="n"/>
      <c r="K22" s="266" t="n"/>
      <c r="L22" s="266" t="n"/>
      <c r="M22" s="266" t="n"/>
      <c r="N22" s="266" t="n">
        <v>1</v>
      </c>
      <c r="O22" s="268" t="n">
        <v>2</v>
      </c>
      <c r="P22" s="15" t="n">
        <v>25</v>
      </c>
      <c r="Q22" s="269" t="n">
        <v>3</v>
      </c>
      <c r="R22" s="266" t="n"/>
      <c r="S22" s="266" t="n">
        <v>2</v>
      </c>
      <c r="T22" s="266" t="n"/>
      <c r="U22" s="266" t="n">
        <v>1</v>
      </c>
      <c r="V22" s="270">
        <f>SUM(M22:U22)</f>
        <v/>
      </c>
      <c r="W22" s="273">
        <f>V22 - (V22 * (SUBSTITUTE(SUBSTITUTE($W$2, "Optimistic (", ""), "%)", "") / 100))</f>
        <v/>
      </c>
      <c r="X22" s="273">
        <f>V22 + (W22 * (SUBSTITUTE(SUBSTITUTE($W$2, "Optimistic (", ""), "%)", "") / 100))</f>
        <v/>
      </c>
      <c r="Y22" s="209">
        <f>(W22+(4*V22)+X22)/6</f>
        <v/>
      </c>
      <c r="Z22" s="210">
        <f>Y22/2</f>
        <v/>
      </c>
      <c r="AA22" s="211" t="n">
        <v>46127</v>
      </c>
      <c r="AB22" s="211" t="n">
        <v>46132</v>
      </c>
      <c r="AC22" s="212" t="n">
        <v>46133</v>
      </c>
      <c r="AD22" s="223" t="n">
        <v>46139</v>
      </c>
      <c r="AE22" s="200">
        <f>IF($Z22="",0,IF($M22="",0,$M22))</f>
        <v/>
      </c>
      <c r="AF22" s="200">
        <f>IF(OR($Z22="",$N22=""),0,$Z22*5%)</f>
        <v/>
      </c>
      <c r="AG22" s="200">
        <f>IF(OR($Z22="",$O22=""),0,$Z22*10%)</f>
        <v/>
      </c>
      <c r="AH22" s="200">
        <f>IF($Z22="",0,IF(AND($P22="",$Q22=""),($Z22-$AE22-$AF22-$AG22-$AJ22-$AK22-$AL22-$AM22-$AN22),IF($P22="",0,IF($Q22="",($Z22-$AE22-$AF22-$AG22-$AJ22-$AK22-$AL22-$AM22-$AN22),($Z22-$AE22-$AF22-$AG22-$AJ22-$AK22-$AL22-$AM22-$AN22)*40%/(40%+15%)))))</f>
        <v/>
      </c>
      <c r="AI22" s="200">
        <f>IF($Z22="",0,IF(AND($P22="",$Q22=""),0,IF($Q22="",0,IF($P22="",($Z22-$AE22-$AF22-$AG22-$AJ22-$AK22-$AL22-$AM22-$AN22),($Z22-$AE22-$AF22-$AG22-$AJ22-$AK22-$AL22-$AM22-$AN22)*15%/(40%+15%)))))</f>
        <v/>
      </c>
      <c r="AJ22" s="282">
        <f>IF($Z22="",0,$Z22*15%)</f>
        <v/>
      </c>
      <c r="AK22" s="200">
        <f>IF($Z22="",0,IF($R22="",0,$R22))</f>
        <v/>
      </c>
      <c r="AL22" s="200">
        <f>IF(OR($Z22="",$S22=""),0,$Z22*5%)</f>
        <v/>
      </c>
      <c r="AM22" s="200">
        <f>IF(OR($Z22="",$T22=""),0,$Z22*10%)</f>
        <v/>
      </c>
      <c r="AN22" s="200">
        <f>IF($Z22="",0,IF($U22="",0,$U22))</f>
        <v/>
      </c>
      <c r="AO22" s="265" t="n"/>
    </row>
    <row r="23" ht="17.25" customHeight="1" s="300">
      <c r="A23" s="266" t="n">
        <v>21</v>
      </c>
      <c r="B23" s="288" t="n"/>
      <c r="C23" s="317" t="inlineStr">
        <is>
          <t>Trial</t>
        </is>
      </c>
      <c r="D23" s="267" t="inlineStr">
        <is>
          <t>DL Trial on WebSite</t>
        </is>
      </c>
      <c r="E23" s="267" t="n"/>
      <c r="F23" s="266" t="inlineStr">
        <is>
          <t>Competitive  -  Plant Log</t>
        </is>
      </c>
      <c r="G23" s="266" t="n"/>
      <c r="H23" s="266" t="n"/>
      <c r="I23" s="266" t="n"/>
      <c r="J23" s="266" t="n"/>
      <c r="K23" s="266" t="n"/>
      <c r="L23" s="266" t="n"/>
      <c r="M23" s="266" t="n"/>
      <c r="N23" s="266" t="n">
        <v>2</v>
      </c>
      <c r="O23" s="268" t="n">
        <v>3</v>
      </c>
      <c r="P23" s="15" t="n">
        <v>50</v>
      </c>
      <c r="Q23" s="269" t="n">
        <v>5</v>
      </c>
      <c r="R23" s="266" t="n"/>
      <c r="S23" s="266" t="n">
        <v>3</v>
      </c>
      <c r="T23" s="266" t="n"/>
      <c r="U23" s="266" t="n"/>
      <c r="V23" s="270">
        <f>SUM(M23:U23)</f>
        <v/>
      </c>
      <c r="W23" s="271">
        <f>V23 - (V23 * (SUBSTITUTE(SUBSTITUTE($W$2, "Optimistic (", ""), "%)", "") / 100))</f>
        <v/>
      </c>
      <c r="X23" s="271">
        <f>V23 + (W23 * (SUBSTITUTE(SUBSTITUTE($W$2, "Optimistic (", ""), "%)", "") / 100))</f>
        <v/>
      </c>
      <c r="Y23" s="123">
        <f>(W23+(4*V23)+X23)/6</f>
        <v/>
      </c>
      <c r="Z23" s="201">
        <f>Y23/2</f>
        <v/>
      </c>
      <c r="AA23" s="178" t="n"/>
      <c r="AB23" s="178" t="n"/>
      <c r="AC23" s="178" t="n"/>
      <c r="AD23" s="179" t="n"/>
      <c r="AE23" s="200">
        <f>IF($Z23="",0,IF($M23="",0,$M23))</f>
        <v/>
      </c>
      <c r="AF23" s="200">
        <f>IF(OR($Z23="",$N23=""),0,$Z23*5%)</f>
        <v/>
      </c>
      <c r="AG23" s="200">
        <f>IF(OR($Z23="",$O23=""),0,$Z23*10%)</f>
        <v/>
      </c>
      <c r="AH23" s="200">
        <f>IF($Z23="",0,IF(AND($P23="",$Q23=""),($Z23-$AE23-$AF23-$AG23-$AJ23-$AK23-$AL23-$AM23-$AN23),IF($P23="",0,IF($Q23="",($Z23-$AE23-$AF23-$AG23-$AJ23-$AK23-$AL23-$AM23-$AN23),($Z23-$AE23-$AF23-$AG23-$AJ23-$AK23-$AL23-$AM23-$AN23)*40%/(40%+15%)))))</f>
        <v/>
      </c>
      <c r="AI23" s="200">
        <f>IF($Z23="",0,IF(AND($P23="",$Q23=""),0,IF($Q23="",0,IF($P23="",($Z23-$AE23-$AF23-$AG23-$AJ23-$AK23-$AL23-$AM23-$AN23),($Z23-$AE23-$AF23-$AG23-$AJ23-$AK23-$AL23-$AM23-$AN23)*15%/(40%+15%)))))</f>
        <v/>
      </c>
      <c r="AJ23" s="282">
        <f>IF($Z23="",0,$Z23*15%)</f>
        <v/>
      </c>
      <c r="AK23" s="200">
        <f>IF($Z23="",0,IF($R23="",0,$R23))</f>
        <v/>
      </c>
      <c r="AL23" s="200">
        <f>IF(OR($Z23="",$S23=""),0,$Z23*5%)</f>
        <v/>
      </c>
      <c r="AM23" s="200">
        <f>IF(OR($Z23="",$T23=""),0,$Z23*10%)</f>
        <v/>
      </c>
      <c r="AN23" s="200">
        <f>IF($Z23="",0,IF($U23="",0,$U23))</f>
        <v/>
      </c>
      <c r="AO23" s="265" t="n"/>
    </row>
    <row r="24" ht="17.25" customHeight="1" s="300">
      <c r="A24" s="266" t="n">
        <v>22</v>
      </c>
      <c r="B24" s="317" t="inlineStr">
        <is>
          <t>Output</t>
        </is>
      </c>
      <c r="C24" s="323" t="inlineStr">
        <is>
          <t>LogChat</t>
        </is>
      </c>
      <c r="D24" s="125" t="inlineStr">
        <is>
          <t>LogChat - Data Analysis</t>
        </is>
      </c>
      <c r="E24" s="125" t="n"/>
      <c r="F24" s="266" t="inlineStr">
        <is>
          <t>RnD</t>
        </is>
      </c>
      <c r="G24" s="266" t="n"/>
      <c r="H24" s="266" t="n"/>
      <c r="I24" s="266" t="n"/>
      <c r="J24" s="266" t="n"/>
      <c r="K24" s="266" t="n"/>
      <c r="L24" s="266" t="n"/>
      <c r="M24" s="266" t="n"/>
      <c r="N24" s="266" t="n">
        <v>3</v>
      </c>
      <c r="O24" s="268" t="n">
        <v>5</v>
      </c>
      <c r="P24" s="15" t="n">
        <v>17</v>
      </c>
      <c r="Q24" s="269" t="n">
        <v>5</v>
      </c>
      <c r="R24" s="266" t="n"/>
      <c r="S24" s="266" t="n">
        <v>3</v>
      </c>
      <c r="T24" s="266" t="n"/>
      <c r="U24" s="266" t="n"/>
      <c r="V24" s="270">
        <f>SUM(M24:U24)</f>
        <v/>
      </c>
      <c r="W24" s="271">
        <f>V24 - (V24 * (SUBSTITUTE(SUBSTITUTE($W$2, "Optimistic (", ""), "%)", "") / 100))</f>
        <v/>
      </c>
      <c r="X24" s="271">
        <f>V24 + (W24 * (SUBSTITUTE(SUBSTITUTE($W$2, "Optimistic (", ""), "%)", "") / 100))</f>
        <v/>
      </c>
      <c r="Y24" s="123">
        <f>(W24+(4*V24)+X24)/6</f>
        <v/>
      </c>
      <c r="Z24" s="201">
        <f>Y24/2</f>
        <v/>
      </c>
      <c r="AA24" s="178" t="n"/>
      <c r="AB24" s="178" t="n"/>
      <c r="AC24" s="178" t="n"/>
      <c r="AD24" s="179" t="n"/>
      <c r="AE24" s="200">
        <f>IF($Z24="",0,IF($M24="",0,$M24))</f>
        <v/>
      </c>
      <c r="AF24" s="200">
        <f>IF(OR($Z24="",$N24=""),0,$Z24*5%)</f>
        <v/>
      </c>
      <c r="AG24" s="200">
        <f>IF(OR($Z24="",$O24=""),0,$Z24*10%)</f>
        <v/>
      </c>
      <c r="AH24" s="200">
        <f>IF($Z24="",0,IF(AND($P24="",$Q24=""),($Z24-$AE24-$AF24-$AG24-$AJ24-$AK24-$AL24-$AM24-$AN24),IF($P24="",0,IF($Q24="",($Z24-$AE24-$AF24-$AG24-$AJ24-$AK24-$AL24-$AM24-$AN24),($Z24-$AE24-$AF24-$AG24-$AJ24-$AK24-$AL24-$AM24-$AN24)*40%/(40%+15%)))))</f>
        <v/>
      </c>
      <c r="AI24" s="200">
        <f>IF($Z24="",0,IF(AND($P24="",$Q24=""),0,IF($Q24="",0,IF($P24="",($Z24-$AE24-$AF24-$AG24-$AJ24-$AK24-$AL24-$AM24-$AN24),($Z24-$AE24-$AF24-$AG24-$AJ24-$AK24-$AL24-$AM24-$AN24)*15%/(40%+15%)))))</f>
        <v/>
      </c>
      <c r="AJ24" s="282">
        <f>IF($Z24="",0,$Z24*15%)</f>
        <v/>
      </c>
      <c r="AK24" s="200">
        <f>IF($Z24="",0,IF($R24="",0,$R24))</f>
        <v/>
      </c>
      <c r="AL24" s="200">
        <f>IF(OR($Z24="",$S24=""),0,$Z24*5%)</f>
        <v/>
      </c>
      <c r="AM24" s="200">
        <f>IF(OR($Z24="",$T24=""),0,$Z24*10%)</f>
        <v/>
      </c>
      <c r="AN24" s="200">
        <f>IF($Z24="",0,IF($U24="",0,$U24))</f>
        <v/>
      </c>
      <c r="AO24" s="265" t="n"/>
    </row>
    <row r="25" ht="17.25" customHeight="1" s="300">
      <c r="A25" s="266" t="n">
        <v>23</v>
      </c>
      <c r="B25" s="290" t="n"/>
      <c r="C25" s="288" t="n"/>
      <c r="D25" s="125" t="inlineStr">
        <is>
          <t>LogChat - User Help, Journals</t>
        </is>
      </c>
      <c r="E25" s="230" t="inlineStr">
        <is>
          <t>https://octopusdtlsupport.atlassian.net/browse/DIGITALLOG-259</t>
        </is>
      </c>
      <c r="F25" s="266" t="inlineStr">
        <is>
          <t>RnD</t>
        </is>
      </c>
      <c r="G25" s="266" t="n"/>
      <c r="H25" s="266" t="n"/>
      <c r="I25" s="266" t="n"/>
      <c r="J25" s="266" t="n"/>
      <c r="K25" s="266" t="n"/>
      <c r="L25" s="266" t="n"/>
      <c r="M25" s="266" t="n"/>
      <c r="N25" s="266" t="n">
        <v>1</v>
      </c>
      <c r="O25" s="268" t="n">
        <v>2</v>
      </c>
      <c r="P25" s="15" t="n">
        <v>15</v>
      </c>
      <c r="Q25" s="269" t="n">
        <v>3</v>
      </c>
      <c r="R25" s="266" t="n"/>
      <c r="S25" s="266" t="n">
        <v>1</v>
      </c>
      <c r="T25" s="266" t="n"/>
      <c r="U25" s="266" t="n">
        <v>1</v>
      </c>
      <c r="V25" s="270">
        <f>SUM(M25:U25)</f>
        <v/>
      </c>
      <c r="W25" s="273">
        <f>V25 - (V25 * (SUBSTITUTE(SUBSTITUTE($W$2, "Optimistic (", ""), "%)", "") / 100))</f>
        <v/>
      </c>
      <c r="X25" s="273">
        <f>V25 + (W25 * (SUBSTITUTE(SUBSTITUTE($W$2, "Optimistic (", ""), "%)", "") / 100))</f>
        <v/>
      </c>
      <c r="Y25" s="209">
        <f>(W25+(4*V25)+X25)/6</f>
        <v/>
      </c>
      <c r="Z25" s="210">
        <f>Y25/2</f>
        <v/>
      </c>
      <c r="AA25" s="211" t="n">
        <v>46121</v>
      </c>
      <c r="AB25" s="211" t="n">
        <v>46128</v>
      </c>
      <c r="AC25" s="212" t="n">
        <v>46129</v>
      </c>
      <c r="AD25" s="223" t="n">
        <v>46139</v>
      </c>
      <c r="AE25" s="200">
        <f>IF($Z25="",0,IF($M25="",0,$M25))</f>
        <v/>
      </c>
      <c r="AF25" s="200">
        <f>IF(OR($Z25="",$N25=""),0,$Z25*5%)</f>
        <v/>
      </c>
      <c r="AG25" s="200">
        <f>IF(OR($Z25="",$O25=""),0,$Z25*10%)</f>
        <v/>
      </c>
      <c r="AH25" s="200">
        <f>IF($Z25="",0,IF(AND($P25="",$Q25=""),($Z25-$AE25-$AF25-$AG25-$AJ25-$AK25-$AL25-$AM25-$AN25),IF($P25="",0,IF($Q25="",($Z25-$AE25-$AF25-$AG25-$AJ25-$AK25-$AL25-$AM25-$AN25),($Z25-$AE25-$AF25-$AG25-$AJ25-$AK25-$AL25-$AM25-$AN25)*40%/(40%+15%)))))</f>
        <v/>
      </c>
      <c r="AI25" s="200">
        <f>IF($Z25="",0,IF(AND($P25="",$Q25=""),0,IF($Q25="",0,IF($P25="",($Z25-$AE25-$AF25-$AG25-$AJ25-$AK25-$AL25-$AM25-$AN25),($Z25-$AE25-$AF25-$AG25-$AJ25-$AK25-$AL25-$AM25-$AN25)*15%/(40%+15%)))))</f>
        <v/>
      </c>
      <c r="AJ25" s="282">
        <f>IF($Z25="",0,$Z25*15%)</f>
        <v/>
      </c>
      <c r="AK25" s="200">
        <f>IF($Z25="",0,IF($R25="",0,$R25))</f>
        <v/>
      </c>
      <c r="AL25" s="200">
        <f>IF(OR($Z25="",$S25=""),0,$Z25*5%)</f>
        <v/>
      </c>
      <c r="AM25" s="200">
        <f>IF(OR($Z25="",$T25=""),0,$Z25*10%)</f>
        <v/>
      </c>
      <c r="AN25" s="200">
        <f>IF($Z25="",0,IF($U25="",0,$U25))</f>
        <v/>
      </c>
      <c r="AO25" s="265" t="n"/>
    </row>
    <row r="26" ht="17.25" customHeight="1" s="300">
      <c r="A26" s="266" t="n">
        <v>24</v>
      </c>
      <c r="B26" s="290" t="n"/>
      <c r="C26" s="317" t="inlineStr">
        <is>
          <t>Dashboards/Reports</t>
        </is>
      </c>
      <c r="D26" s="267" t="inlineStr">
        <is>
          <t>Request for Digital Log Usage Dashboard / Report
1- Total number of active users over time
2- Checklist creation trends (daily/weekly/monthly)
3- Number of completed vs. pending checklists
4- User login frequency</t>
        </is>
      </c>
      <c r="E26" s="267" t="n"/>
      <c r="F26" s="272" t="inlineStr">
        <is>
          <t>RnD</t>
        </is>
      </c>
      <c r="G26" s="266" t="n"/>
      <c r="H26" s="266" t="n"/>
      <c r="I26" s="266" t="n"/>
      <c r="J26" s="266" t="n"/>
      <c r="K26" s="266" t="n"/>
      <c r="L26" s="266" t="n"/>
      <c r="M26" s="266" t="n"/>
      <c r="N26" s="266" t="n">
        <v>1</v>
      </c>
      <c r="O26" s="268" t="n">
        <v>2</v>
      </c>
      <c r="P26" s="15" t="n">
        <v>38</v>
      </c>
      <c r="Q26" s="269" t="n">
        <v>5</v>
      </c>
      <c r="R26" s="266" t="n"/>
      <c r="S26" s="266" t="n">
        <v>5</v>
      </c>
      <c r="T26" s="266" t="n"/>
      <c r="U26" s="266" t="n"/>
      <c r="V26" s="270">
        <f>SUM(M26:U26)</f>
        <v/>
      </c>
      <c r="W26" s="271">
        <f>V26 - (V26 * (SUBSTITUTE(SUBSTITUTE($W$2, "Optimistic (", ""), "%)", "") / 100))</f>
        <v/>
      </c>
      <c r="X26" s="271">
        <f>V26 + (W26 * (SUBSTITUTE(SUBSTITUTE($W$2, "Optimistic (", ""), "%)", "") / 100))</f>
        <v/>
      </c>
      <c r="Y26" s="123">
        <f>(W26+(4*V26)+X26)/6</f>
        <v/>
      </c>
      <c r="Z26" s="201">
        <f>Y26/2</f>
        <v/>
      </c>
      <c r="AA26" s="178" t="n"/>
      <c r="AB26" s="178" t="n"/>
      <c r="AC26" s="178" t="n"/>
      <c r="AD26" s="179" t="n"/>
      <c r="AE26" s="200">
        <f>IF($Z26="",0,IF($M26="",0,$M26))</f>
        <v/>
      </c>
      <c r="AF26" s="200">
        <f>IF(OR($Z26="",$N26=""),0,$Z26*5%)</f>
        <v/>
      </c>
      <c r="AG26" s="200">
        <f>IF(OR($Z26="",$O26=""),0,$Z26*10%)</f>
        <v/>
      </c>
      <c r="AH26" s="200">
        <f>IF($Z26="",0,IF(AND($P26="",$Q26=""),($Z26-$AE26-$AF26-$AG26-$AJ26-$AK26-$AL26-$AM26-$AN26),IF($P26="",0,IF($Q26="",($Z26-$AE26-$AF26-$AG26-$AJ26-$AK26-$AL26-$AM26-$AN26),($Z26-$AE26-$AF26-$AG26-$AJ26-$AK26-$AL26-$AM26-$AN26)*40%/(40%+15%)))))</f>
        <v/>
      </c>
      <c r="AI26" s="200">
        <f>IF($Z26="",0,IF(AND($P26="",$Q26=""),0,IF($Q26="",0,IF($P26="",($Z26-$AE26-$AF26-$AG26-$AJ26-$AK26-$AL26-$AM26-$AN26),($Z26-$AE26-$AF26-$AG26-$AJ26-$AK26-$AL26-$AM26-$AN26)*15%/(40%+15%)))))</f>
        <v/>
      </c>
      <c r="AJ26" s="282">
        <f>IF($Z26="",0,$Z26*15%)</f>
        <v/>
      </c>
      <c r="AK26" s="200">
        <f>IF($Z26="",0,IF($R26="",0,$R26))</f>
        <v/>
      </c>
      <c r="AL26" s="200">
        <f>IF(OR($Z26="",$S26=""),0,$Z26*5%)</f>
        <v/>
      </c>
      <c r="AM26" s="200">
        <f>IF(OR($Z26="",$T26=""),0,$Z26*10%)</f>
        <v/>
      </c>
      <c r="AN26" s="200">
        <f>IF($Z26="",0,IF($U26="",0,$U26))</f>
        <v/>
      </c>
      <c r="AO26" s="265" t="n"/>
    </row>
    <row r="27" ht="17.25" customHeight="1" s="300">
      <c r="A27" s="266" t="n">
        <v>25</v>
      </c>
      <c r="B27" s="290" t="n"/>
      <c r="C27" s="290" t="n"/>
      <c r="D27" s="267" t="inlineStr">
        <is>
          <t>DL Analytics (Dependent upon client need &amp; Data)</t>
        </is>
      </c>
      <c r="E27" s="267" t="n"/>
      <c r="F27" s="266" t="inlineStr">
        <is>
          <t>Client Feedback - Demo</t>
        </is>
      </c>
      <c r="G27" s="266" t="n"/>
      <c r="H27" s="266" t="n"/>
      <c r="I27" s="266" t="n"/>
      <c r="J27" s="266" t="n"/>
      <c r="K27" s="266" t="n"/>
      <c r="L27" s="266" t="n"/>
      <c r="M27" s="266" t="n"/>
      <c r="N27" s="266" t="n">
        <v>1</v>
      </c>
      <c r="O27" s="268" t="n">
        <v>2</v>
      </c>
      <c r="P27" s="15" t="n">
        <v>25</v>
      </c>
      <c r="Q27" s="269" t="n">
        <v>5</v>
      </c>
      <c r="R27" s="266" t="n"/>
      <c r="S27" s="266" t="n">
        <v>3</v>
      </c>
      <c r="T27" s="266" t="n"/>
      <c r="U27" s="266" t="n"/>
      <c r="V27" s="270">
        <f>SUM(M27:U27)</f>
        <v/>
      </c>
      <c r="W27" s="271">
        <f>V27 - (V27 * (SUBSTITUTE(SUBSTITUTE($W$2, "Optimistic (", ""), "%)", "") / 100))</f>
        <v/>
      </c>
      <c r="X27" s="271">
        <f>V27 + (W27 * (SUBSTITUTE(SUBSTITUTE($W$2, "Optimistic (", ""), "%)", "") / 100))</f>
        <v/>
      </c>
      <c r="Y27" s="123">
        <f>(W27+(4*V27)+X27)/6</f>
        <v/>
      </c>
      <c r="Z27" s="201">
        <f>Y27/2</f>
        <v/>
      </c>
      <c r="AA27" s="178" t="n"/>
      <c r="AB27" s="178" t="n"/>
      <c r="AC27" s="178" t="n"/>
      <c r="AD27" s="179" t="n"/>
      <c r="AE27" s="200">
        <f>IF($Z27="",0,IF($M27="",0,$M27))</f>
        <v/>
      </c>
      <c r="AF27" s="200">
        <f>IF(OR($Z27="",$N27=""),0,$Z27*5%)</f>
        <v/>
      </c>
      <c r="AG27" s="200">
        <f>IF(OR($Z27="",$O27=""),0,$Z27*10%)</f>
        <v/>
      </c>
      <c r="AH27" s="200">
        <f>IF($Z27="",0,IF(AND($P27="",$Q27=""),($Z27-$AE27-$AF27-$AG27-$AJ27-$AK27-$AL27-$AM27-$AN27),IF($P27="",0,IF($Q27="",($Z27-$AE27-$AF27-$AG27-$AJ27-$AK27-$AL27-$AM27-$AN27),($Z27-$AE27-$AF27-$AG27-$AJ27-$AK27-$AL27-$AM27-$AN27)*40%/(40%+15%)))))</f>
        <v/>
      </c>
      <c r="AI27" s="200">
        <f>IF($Z27="",0,IF(AND($P27="",$Q27=""),0,IF($Q27="",0,IF($P27="",($Z27-$AE27-$AF27-$AG27-$AJ27-$AK27-$AL27-$AM27-$AN27),($Z27-$AE27-$AF27-$AG27-$AJ27-$AK27-$AL27-$AM27-$AN27)*15%/(40%+15%)))))</f>
        <v/>
      </c>
      <c r="AJ27" s="282">
        <f>IF($Z27="",0,$Z27*15%)</f>
        <v/>
      </c>
      <c r="AK27" s="200">
        <f>IF($Z27="",0,IF($R27="",0,$R27))</f>
        <v/>
      </c>
      <c r="AL27" s="200">
        <f>IF(OR($Z27="",$S27=""),0,$Z27*5%)</f>
        <v/>
      </c>
      <c r="AM27" s="200">
        <f>IF(OR($Z27="",$T27=""),0,$Z27*10%)</f>
        <v/>
      </c>
      <c r="AN27" s="200">
        <f>IF($Z27="",0,IF($U27="",0,$U27))</f>
        <v/>
      </c>
      <c r="AO27" s="265" t="n"/>
    </row>
    <row r="28" ht="17.25" customHeight="1" s="300">
      <c r="A28" s="266" t="n">
        <v>26</v>
      </c>
      <c r="B28" s="290" t="n"/>
      <c r="C28" s="290" t="n"/>
      <c r="D28" s="267" t="inlineStr">
        <is>
          <t>Reports list is not available/viewable in tablet portrait mode</t>
        </is>
      </c>
      <c r="E28" s="267" t="n"/>
      <c r="F28" s="266" t="inlineStr">
        <is>
          <t>RnD</t>
        </is>
      </c>
      <c r="G28" s="266" t="n"/>
      <c r="H28" s="266" t="n"/>
      <c r="I28" s="266" t="n"/>
      <c r="J28" s="266" t="n"/>
      <c r="K28" s="266" t="n"/>
      <c r="L28" s="266" t="n"/>
      <c r="M28" s="266" t="n"/>
      <c r="N28" s="266" t="n"/>
      <c r="O28" s="268" t="n"/>
      <c r="P28" s="15" t="n">
        <v>5</v>
      </c>
      <c r="Q28" s="269" t="n">
        <v>1</v>
      </c>
      <c r="R28" s="266" t="n"/>
      <c r="S28" s="266" t="n"/>
      <c r="T28" s="266" t="n"/>
      <c r="U28" s="266" t="n"/>
      <c r="V28" s="270">
        <f>SUM(M28:U28)</f>
        <v/>
      </c>
      <c r="W28" s="271">
        <f>V28 - (V28 * (SUBSTITUTE(SUBSTITUTE($W$2, "Optimistic (", ""), "%)", "") / 100))</f>
        <v/>
      </c>
      <c r="X28" s="271">
        <f>V28 + (W28 * (SUBSTITUTE(SUBSTITUTE($W$2, "Optimistic (", ""), "%)", "") / 100))</f>
        <v/>
      </c>
      <c r="Y28" s="123">
        <f>(W28+(4*V28)+X28)/6</f>
        <v/>
      </c>
      <c r="Z28" s="201">
        <f>Y28/2</f>
        <v/>
      </c>
      <c r="AA28" s="178" t="n"/>
      <c r="AB28" s="178" t="n"/>
      <c r="AC28" s="178" t="n"/>
      <c r="AD28" s="179" t="n"/>
      <c r="AE28" s="200">
        <f>IF($Z28="",0,IF($M28="",0,$M28))</f>
        <v/>
      </c>
      <c r="AF28" s="200">
        <f>IF(OR($Z28="",$N28=""),0,$Z28*5%)</f>
        <v/>
      </c>
      <c r="AG28" s="200">
        <f>IF(OR($Z28="",$O28=""),0,$Z28*10%)</f>
        <v/>
      </c>
      <c r="AH28" s="200">
        <f>IF($Z28="",0,IF(AND($P28="",$Q28=""),($Z28-$AE28-$AF28-$AG28-$AJ28-$AK28-$AL28-$AM28-$AN28),IF($P28="",0,IF($Q28="",($Z28-$AE28-$AF28-$AG28-$AJ28-$AK28-$AL28-$AM28-$AN28),($Z28-$AE28-$AF28-$AG28-$AJ28-$AK28-$AL28-$AM28-$AN28)*40%/(40%+15%)))))</f>
        <v/>
      </c>
      <c r="AI28" s="200">
        <f>IF($Z28="",0,IF(AND($P28="",$Q28=""),0,IF($Q28="",0,IF($P28="",($Z28-$AE28-$AF28-$AG28-$AJ28-$AK28-$AL28-$AM28-$AN28),($Z28-$AE28-$AF28-$AG28-$AJ28-$AK28-$AL28-$AM28-$AN28)*15%/(40%+15%)))))</f>
        <v/>
      </c>
      <c r="AJ28" s="282">
        <f>IF($Z28="",0,$Z28*15%)</f>
        <v/>
      </c>
      <c r="AK28" s="200">
        <f>IF($Z28="",0,IF($R28="",0,$R28))</f>
        <v/>
      </c>
      <c r="AL28" s="200">
        <f>IF(OR($Z28="",$S28=""),0,$Z28*5%)</f>
        <v/>
      </c>
      <c r="AM28" s="200">
        <f>IF(OR($Z28="",$T28=""),0,$Z28*10%)</f>
        <v/>
      </c>
      <c r="AN28" s="200">
        <f>IF($Z28="",0,IF($U28="",0,$U28))</f>
        <v/>
      </c>
      <c r="AO28" s="265" t="n"/>
    </row>
    <row r="29" ht="17.25" customHeight="1" s="300">
      <c r="A29" s="266" t="n">
        <v>27</v>
      </c>
      <c r="B29" s="290" t="n"/>
      <c r="C29" s="288" t="n"/>
      <c r="D29" s="267" t="inlineStr">
        <is>
          <t>DL Default Reports</t>
        </is>
      </c>
      <c r="E29" s="267" t="n"/>
      <c r="F29" s="266" t="inlineStr">
        <is>
          <t>Competitive  -  Plant Log</t>
        </is>
      </c>
      <c r="G29" s="266" t="n"/>
      <c r="H29" s="266" t="n"/>
      <c r="I29" s="266" t="n"/>
      <c r="J29" s="266" t="n"/>
      <c r="K29" s="266" t="n"/>
      <c r="L29" s="266" t="n"/>
      <c r="M29" s="266" t="n"/>
      <c r="N29" s="266" t="n">
        <v>1</v>
      </c>
      <c r="O29" s="268" t="n">
        <v>2</v>
      </c>
      <c r="P29" s="15" t="n">
        <v>25</v>
      </c>
      <c r="Q29" s="269" t="n">
        <v>6</v>
      </c>
      <c r="R29" s="266" t="n"/>
      <c r="S29" s="266" t="n">
        <v>5</v>
      </c>
      <c r="T29" s="266" t="n"/>
      <c r="U29" s="266" t="n"/>
      <c r="V29" s="270">
        <f>SUM(M29:U29)</f>
        <v/>
      </c>
      <c r="W29" s="271">
        <f>V29 - (V29 * (SUBSTITUTE(SUBSTITUTE($W$2, "Optimistic (", ""), "%)", "") / 100))</f>
        <v/>
      </c>
      <c r="X29" s="271">
        <f>V29 + (W29 * (SUBSTITUTE(SUBSTITUTE($W$2, "Optimistic (", ""), "%)", "") / 100))</f>
        <v/>
      </c>
      <c r="Y29" s="123">
        <f>(W29+(4*V29)+X29)/6</f>
        <v/>
      </c>
      <c r="Z29" s="201">
        <f>Y29/2</f>
        <v/>
      </c>
      <c r="AA29" s="178" t="n"/>
      <c r="AB29" s="178" t="n"/>
      <c r="AC29" s="178" t="n"/>
      <c r="AD29" s="179" t="n"/>
      <c r="AE29" s="200">
        <f>IF($Z29="",0,IF($M29="",0,$M29))</f>
        <v/>
      </c>
      <c r="AF29" s="200">
        <f>IF(OR($Z29="",$N29=""),0,$Z29*5%)</f>
        <v/>
      </c>
      <c r="AG29" s="200">
        <f>IF(OR($Z29="",$O29=""),0,$Z29*10%)</f>
        <v/>
      </c>
      <c r="AH29" s="200">
        <f>IF($Z29="",0,IF(AND($P29="",$Q29=""),($Z29-$AE29-$AF29-$AG29-$AJ29-$AK29-$AL29-$AM29-$AN29),IF($P29="",0,IF($Q29="",($Z29-$AE29-$AF29-$AG29-$AJ29-$AK29-$AL29-$AM29-$AN29),($Z29-$AE29-$AF29-$AG29-$AJ29-$AK29-$AL29-$AM29-$AN29)*40%/(40%+15%)))))</f>
        <v/>
      </c>
      <c r="AI29" s="200">
        <f>IF($Z29="",0,IF(AND($P29="",$Q29=""),0,IF($Q29="",0,IF($P29="",($Z29-$AE29-$AF29-$AG29-$AJ29-$AK29-$AL29-$AM29-$AN29),($Z29-$AE29-$AF29-$AG29-$AJ29-$AK29-$AL29-$AM29-$AN29)*15%/(40%+15%)))))</f>
        <v/>
      </c>
      <c r="AJ29" s="282">
        <f>IF($Z29="",0,$Z29*15%)</f>
        <v/>
      </c>
      <c r="AK29" s="200">
        <f>IF($Z29="",0,IF($R29="",0,$R29))</f>
        <v/>
      </c>
      <c r="AL29" s="200">
        <f>IF(OR($Z29="",$S29=""),0,$Z29*5%)</f>
        <v/>
      </c>
      <c r="AM29" s="200">
        <f>IF(OR($Z29="",$T29=""),0,$Z29*10%)</f>
        <v/>
      </c>
      <c r="AN29" s="200">
        <f>IF($Z29="",0,IF($U29="",0,$U29))</f>
        <v/>
      </c>
      <c r="AO29" s="265" t="n"/>
    </row>
    <row r="30" ht="17.25" customHeight="1" s="300">
      <c r="A30" s="266" t="n">
        <v>28</v>
      </c>
      <c r="B30" s="290" t="n"/>
      <c r="C30" s="317" t="inlineStr">
        <is>
          <t>Alerts</t>
        </is>
      </c>
      <c r="D30" s="267" t="inlineStr">
        <is>
          <t>Notifications (desktop) at due, overdue checklist(s)</t>
        </is>
      </c>
      <c r="E30" s="267" t="n"/>
      <c r="F30" s="266" t="inlineStr">
        <is>
          <t>RnD</t>
        </is>
      </c>
      <c r="G30" s="266" t="n"/>
      <c r="H30" s="266" t="n"/>
      <c r="I30" s="266" t="n"/>
      <c r="J30" s="266" t="n"/>
      <c r="K30" s="266" t="n"/>
      <c r="L30" s="266" t="n"/>
      <c r="M30" s="266" t="n"/>
      <c r="N30" s="266" t="n"/>
      <c r="O30" s="268" t="n"/>
      <c r="P30" s="15" t="n">
        <v>50</v>
      </c>
      <c r="Q30" s="269" t="n">
        <v>5</v>
      </c>
      <c r="R30" s="266" t="n"/>
      <c r="S30" s="266" t="n">
        <v>3</v>
      </c>
      <c r="T30" s="266" t="n"/>
      <c r="U30" s="266" t="n"/>
      <c r="V30" s="270">
        <f>SUM(M30:U30)</f>
        <v/>
      </c>
      <c r="W30" s="271">
        <f>V30 - (V30 * (SUBSTITUTE(SUBSTITUTE($W$2, "Optimistic (", ""), "%)", "") / 100))</f>
        <v/>
      </c>
      <c r="X30" s="271">
        <f>V30 + (W30 * (SUBSTITUTE(SUBSTITUTE($W$2, "Optimistic (", ""), "%)", "") / 100))</f>
        <v/>
      </c>
      <c r="Y30" s="123">
        <f>(W30+(4*V30)+X30)/6</f>
        <v/>
      </c>
      <c r="Z30" s="201">
        <f>Y30/2</f>
        <v/>
      </c>
      <c r="AA30" s="178" t="n"/>
      <c r="AB30" s="178" t="n"/>
      <c r="AC30" s="178" t="n"/>
      <c r="AD30" s="179" t="n"/>
      <c r="AE30" s="200">
        <f>IF($Z30="",0,IF($M30="",0,$M30))</f>
        <v/>
      </c>
      <c r="AF30" s="200">
        <f>IF(OR($Z30="",$N30=""),0,$Z30*5%)</f>
        <v/>
      </c>
      <c r="AG30" s="200">
        <f>IF(OR($Z30="",$O30=""),0,$Z30*10%)</f>
        <v/>
      </c>
      <c r="AH30" s="200">
        <f>IF($Z30="",0,IF(AND($P30="",$Q30=""),($Z30-$AE30-$AF30-$AG30-$AJ30-$AK30-$AL30-$AM30-$AN30),IF($P30="",0,IF($Q30="",($Z30-$AE30-$AF30-$AG30-$AJ30-$AK30-$AL30-$AM30-$AN30),($Z30-$AE30-$AF30-$AG30-$AJ30-$AK30-$AL30-$AM30-$AN30)*40%/(40%+15%)))))</f>
        <v/>
      </c>
      <c r="AI30" s="200">
        <f>IF($Z30="",0,IF(AND($P30="",$Q30=""),0,IF($Q30="",0,IF($P30="",($Z30-$AE30-$AF30-$AG30-$AJ30-$AK30-$AL30-$AM30-$AN30),($Z30-$AE30-$AF30-$AG30-$AJ30-$AK30-$AL30-$AM30-$AN30)*15%/(40%+15%)))))</f>
        <v/>
      </c>
      <c r="AJ30" s="282">
        <f>IF($Z30="",0,$Z30*15%)</f>
        <v/>
      </c>
      <c r="AK30" s="200">
        <f>IF($Z30="",0,IF($R30="",0,$R30))</f>
        <v/>
      </c>
      <c r="AL30" s="200">
        <f>IF(OR($Z30="",$S30=""),0,$Z30*5%)</f>
        <v/>
      </c>
      <c r="AM30" s="200">
        <f>IF(OR($Z30="",$T30=""),0,$Z30*10%)</f>
        <v/>
      </c>
      <c r="AN30" s="200">
        <f>IF($Z30="",0,IF($U30="",0,$U30))</f>
        <v/>
      </c>
      <c r="AO30" s="265" t="n"/>
    </row>
    <row r="31" ht="17.25" customHeight="1" s="300">
      <c r="A31" s="266" t="n">
        <v>29</v>
      </c>
      <c r="B31" s="288" t="n"/>
      <c r="C31" s="288" t="n"/>
      <c r="D31" s="267" t="inlineStr">
        <is>
          <t>Email text formatting</t>
        </is>
      </c>
      <c r="E31" s="267" t="n"/>
      <c r="F31" s="266" t="inlineStr">
        <is>
          <t>RnD</t>
        </is>
      </c>
      <c r="G31" s="266" t="n"/>
      <c r="H31" s="266" t="n"/>
      <c r="I31" s="266" t="n"/>
      <c r="J31" s="266" t="n"/>
      <c r="K31" s="266" t="n"/>
      <c r="L31" s="266" t="n"/>
      <c r="M31" s="266" t="n"/>
      <c r="N31" s="266" t="n"/>
      <c r="O31" s="268" t="n"/>
      <c r="P31" s="15" t="n">
        <v>13</v>
      </c>
      <c r="Q31" s="269" t="n">
        <v>2</v>
      </c>
      <c r="R31" s="266" t="n"/>
      <c r="S31" s="266" t="n"/>
      <c r="T31" s="266" t="n"/>
      <c r="U31" s="266" t="n"/>
      <c r="V31" s="270">
        <f>SUM(M31:U31)</f>
        <v/>
      </c>
      <c r="W31" s="271">
        <f>V31 - (V31 * (SUBSTITUTE(SUBSTITUTE($W$2, "Optimistic (", ""), "%)", "") / 100))</f>
        <v/>
      </c>
      <c r="X31" s="271">
        <f>V31 + (W31 * (SUBSTITUTE(SUBSTITUTE($W$2, "Optimistic (", ""), "%)", "") / 100))</f>
        <v/>
      </c>
      <c r="Y31" s="123">
        <f>(W31+(4*V31)+X31)/6</f>
        <v/>
      </c>
      <c r="Z31" s="201">
        <f>Y31/2</f>
        <v/>
      </c>
      <c r="AA31" s="178" t="n"/>
      <c r="AB31" s="178" t="n"/>
      <c r="AC31" s="178" t="n"/>
      <c r="AD31" s="179" t="n"/>
      <c r="AE31" s="200">
        <f>IF($Z31="",0,IF($M31="",0,$M31))</f>
        <v/>
      </c>
      <c r="AF31" s="200">
        <f>IF(OR($Z31="",$N31=""),0,$Z31*5%)</f>
        <v/>
      </c>
      <c r="AG31" s="200">
        <f>IF(OR($Z31="",$O31=""),0,$Z31*10%)</f>
        <v/>
      </c>
      <c r="AH31" s="200">
        <f>IF($Z31="",0,IF(AND($P31="",$Q31=""),($Z31-$AE31-$AF31-$AG31-$AJ31-$AK31-$AL31-$AM31-$AN31),IF($P31="",0,IF($Q31="",($Z31-$AE31-$AF31-$AG31-$AJ31-$AK31-$AL31-$AM31-$AN31),($Z31-$AE31-$AF31-$AG31-$AJ31-$AK31-$AL31-$AM31-$AN31)*40%/(40%+15%)))))</f>
        <v/>
      </c>
      <c r="AI31" s="200">
        <f>IF($Z31="",0,IF(AND($P31="",$Q31=""),0,IF($Q31="",0,IF($P31="",($Z31-$AE31-$AF31-$AG31-$AJ31-$AK31-$AL31-$AM31-$AN31),($Z31-$AE31-$AF31-$AG31-$AJ31-$AK31-$AL31-$AM31-$AN31)*15%/(40%+15%)))))</f>
        <v/>
      </c>
      <c r="AJ31" s="282">
        <f>IF($Z31="",0,$Z31*15%)</f>
        <v/>
      </c>
      <c r="AK31" s="200">
        <f>IF($Z31="",0,IF($R31="",0,$R31))</f>
        <v/>
      </c>
      <c r="AL31" s="200">
        <f>IF(OR($Z31="",$S31=""),0,$Z31*5%)</f>
        <v/>
      </c>
      <c r="AM31" s="200">
        <f>IF(OR($Z31="",$T31=""),0,$Z31*10%)</f>
        <v/>
      </c>
      <c r="AN31" s="200">
        <f>IF($Z31="",0,IF($U31="",0,$U31))</f>
        <v/>
      </c>
      <c r="AO31" s="265" t="n"/>
    </row>
    <row r="32" ht="17.25" customHeight="1" s="300">
      <c r="A32" s="266" t="n">
        <v>30</v>
      </c>
      <c r="B32" s="317" t="inlineStr">
        <is>
          <t>Administration</t>
        </is>
      </c>
      <c r="C32" s="317" t="inlineStr">
        <is>
          <t>User Management</t>
        </is>
      </c>
      <c r="D32" s="267" t="inlineStr">
        <is>
          <t>Enhance User Access Rights at granular level of Create, Read, Update, Delete like OmniConnect</t>
        </is>
      </c>
      <c r="E32" s="267" t="n"/>
      <c r="F32" s="272" t="inlineStr">
        <is>
          <t>RnD</t>
        </is>
      </c>
      <c r="G32" s="266" t="n"/>
      <c r="H32" s="266" t="n"/>
      <c r="I32" s="266" t="n"/>
      <c r="J32" s="266" t="n"/>
      <c r="K32" s="266" t="n"/>
      <c r="L32" s="266" t="n"/>
      <c r="M32" s="266" t="n"/>
      <c r="N32" s="266" t="n">
        <v>2</v>
      </c>
      <c r="O32" s="268" t="n">
        <v>3</v>
      </c>
      <c r="P32" s="15" t="n">
        <v>50</v>
      </c>
      <c r="Q32" s="269" t="n">
        <v>6</v>
      </c>
      <c r="R32" s="266" t="n"/>
      <c r="S32" s="266" t="n">
        <v>10</v>
      </c>
      <c r="T32" s="266" t="n"/>
      <c r="U32" s="266" t="n"/>
      <c r="V32" s="276">
        <f>SUM(M32:U32)</f>
        <v/>
      </c>
      <c r="W32" s="277">
        <f>V32 - (V32 * (SUBSTITUTE(SUBSTITUTE($W$2, "Optimistic (", ""), "%)", "") / 100))</f>
        <v/>
      </c>
      <c r="X32" s="277">
        <f>V32 + (W32 * (SUBSTITUTE(SUBSTITUTE($W$2, "Optimistic (", ""), "%)", "") / 100))</f>
        <v/>
      </c>
      <c r="Y32" s="171">
        <f>(W32+(4*V32)+X32)/6</f>
        <v/>
      </c>
      <c r="Z32" s="205">
        <f>Y32/2</f>
        <v/>
      </c>
      <c r="AA32" s="182" t="n"/>
      <c r="AB32" s="182" t="n"/>
      <c r="AC32" s="182" t="n"/>
      <c r="AD32" s="183" t="n"/>
      <c r="AE32" s="200">
        <f>IF($Z32="",0,IF($M32="",0,$M32))</f>
        <v/>
      </c>
      <c r="AF32" s="200">
        <f>IF(OR($Z32="",$N32=""),0,$Z32*5%)</f>
        <v/>
      </c>
      <c r="AG32" s="200">
        <f>IF(OR($Z32="",$O32=""),0,$Z32*10%)</f>
        <v/>
      </c>
      <c r="AH32" s="200">
        <f>IF($Z32="",0,IF(AND($P32="",$Q32=""),($Z32-$AE32-$AF32-$AG32-$AJ32-$AK32-$AL32-$AM32-$AN32),IF($P32="",0,IF($Q32="",($Z32-$AE32-$AF32-$AG32-$AJ32-$AK32-$AL32-$AM32-$AN32),($Z32-$AE32-$AF32-$AG32-$AJ32-$AK32-$AL32-$AM32-$AN32)*40%/(40%+15%)))))</f>
        <v/>
      </c>
      <c r="AI32" s="200">
        <f>IF($Z32="",0,IF(AND($P32="",$Q32=""),0,IF($Q32="",0,IF($P32="",($Z32-$AE32-$AF32-$AG32-$AJ32-$AK32-$AL32-$AM32-$AN32),($Z32-$AE32-$AF32-$AG32-$AJ32-$AK32-$AL32-$AM32-$AN32)*15%/(40%+15%)))))</f>
        <v/>
      </c>
      <c r="AJ32" s="282">
        <f>IF($Z32="",0,$Z32*15%)</f>
        <v/>
      </c>
      <c r="AK32" s="200">
        <f>IF($Z32="",0,IF($R32="",0,$R32))</f>
        <v/>
      </c>
      <c r="AL32" s="200">
        <f>IF(OR($Z32="",$S32=""),0,$Z32*5%)</f>
        <v/>
      </c>
      <c r="AM32" s="200">
        <f>IF(OR($Z32="",$T32=""),0,$Z32*10%)</f>
        <v/>
      </c>
      <c r="AN32" s="200">
        <f>IF($Z32="",0,IF($U32="",0,$U32))</f>
        <v/>
      </c>
      <c r="AO32" s="265" t="n"/>
    </row>
    <row r="33" ht="17.25" customHeight="1" s="300">
      <c r="A33" s="265" t="n"/>
      <c r="B33" s="265" t="n"/>
      <c r="C33" s="265" t="n"/>
      <c r="D33" s="278" t="n"/>
      <c r="E33" s="278" t="n"/>
      <c r="F33" s="265" t="n"/>
      <c r="G33" s="265" t="n"/>
      <c r="H33" s="265" t="n"/>
      <c r="I33" s="265" t="n"/>
      <c r="J33" s="265" t="n"/>
      <c r="K33" s="265" t="n"/>
      <c r="L33" s="265" t="n"/>
      <c r="M33" s="265" t="n"/>
      <c r="N33" s="265" t="n"/>
      <c r="O33" s="265" t="n"/>
      <c r="P33" s="265" t="n"/>
      <c r="Q33" s="265" t="n"/>
      <c r="R33" s="265" t="n"/>
      <c r="S33" s="265" t="n"/>
      <c r="T33" s="265" t="n"/>
      <c r="U33" s="265" t="n"/>
      <c r="V33" s="127">
        <f>SUM(V3:V32)*Settings!I2</f>
        <v/>
      </c>
      <c r="W33" s="170">
        <f>SUM(W3:W32)*Settings!I2</f>
        <v/>
      </c>
      <c r="X33" s="170">
        <f>SUM(X3:X32)*Settings!I2</f>
        <v/>
      </c>
      <c r="Y33" s="79">
        <f>SUM(Y3:Y32)*Settings!I2</f>
        <v/>
      </c>
      <c r="Z33" s="206">
        <f>SUM(Z3:Z32)*Settings!I2</f>
        <v/>
      </c>
      <c r="AA33" s="79" t="n"/>
      <c r="AB33" s="79" t="n"/>
      <c r="AC33" s="79" t="n"/>
      <c r="AD33" s="79" t="n"/>
      <c r="AE33" s="265" t="n"/>
      <c r="AF33" s="265" t="n"/>
      <c r="AG33" s="265">
        <f>IF(OR($Z33="",$O33=""),0,$Z33*10%)</f>
        <v/>
      </c>
      <c r="AH33" s="265">
        <f>IF($Z33="",0,IF(AND($P33="",$Q33=""),($Z33-$AE33-$AF33-$AG33-$AJ33-$AK33-$AL33-$AM33-$AN33),IF($P33="",0,IF($Q33="",($Z33-$AE33-$AF33-$AG33-$AJ33-$AK33-$AL33-$AM33-$AN33),($Z33-$AE33-$AF33-$AG33-$AJ33-$AK33-$AL33-$AM33-$AN33)*40%/(40%+15%)))))</f>
        <v/>
      </c>
      <c r="AI33" s="265">
        <f>IF($Z33="",0,IF(AND($P33="",$Q33=""),0,IF($Q33="",0,IF($P33="",($Z33-$AE33-$AF33-$AG33-$AJ33-$AK33-$AL33-$AM33-$AN33),($Z33-$AE33-$AF33-$AG33-$AJ33-$AK33-$AL33-$AM33-$AN33)*15%/(40%+15%)))))</f>
        <v/>
      </c>
      <c r="AJ33" s="321">
        <f>IF($Z33="",0,$Z33*15%)</f>
        <v/>
      </c>
      <c r="AK33" s="265">
        <f>IF($Z33="",0,IF($R33="",0,$R33))</f>
        <v/>
      </c>
      <c r="AL33" s="265">
        <f>IF(OR($Z33="",$S33=""),0,$Z33*5%)</f>
        <v/>
      </c>
      <c r="AM33" s="265">
        <f>IF(OR($Z33="",$T33=""),0,$Z33*10%)</f>
        <v/>
      </c>
      <c r="AN33" s="265">
        <f>IF($Z33="",0,IF($U33="",0,$U33))</f>
        <v/>
      </c>
      <c r="AO33" s="265" t="n"/>
    </row>
    <row r="34" ht="17.25" customHeight="1" s="300">
      <c r="A34" s="265" t="n"/>
      <c r="B34" s="265" t="n"/>
      <c r="C34" s="265" t="n"/>
      <c r="D34" s="278" t="n"/>
      <c r="E34" s="278" t="n"/>
      <c r="F34" s="265" t="n"/>
      <c r="G34" s="265" t="n"/>
      <c r="H34" s="265" t="n"/>
      <c r="I34" s="265" t="n"/>
      <c r="J34" s="265" t="n"/>
      <c r="K34" s="265" t="n"/>
      <c r="L34" s="265" t="n"/>
      <c r="M34" s="265" t="n"/>
      <c r="N34" s="265" t="n"/>
      <c r="O34" s="265" t="n"/>
      <c r="P34" s="265" t="n"/>
      <c r="Q34" s="265" t="n"/>
      <c r="R34" s="265" t="n"/>
      <c r="S34" s="265" t="n"/>
      <c r="T34" s="265" t="n"/>
      <c r="U34" s="265" t="n"/>
      <c r="V34" s="265" t="n"/>
      <c r="W34" s="265" t="n"/>
      <c r="X34" s="265" t="n"/>
      <c r="Y34" s="265" t="n"/>
      <c r="Z34" s="279" t="n"/>
      <c r="AA34" s="265" t="n"/>
      <c r="AB34" s="265" t="n"/>
      <c r="AC34" s="265" t="n"/>
      <c r="AD34" s="265" t="n"/>
      <c r="AE34" s="265" t="n"/>
      <c r="AF34" s="265" t="n"/>
      <c r="AG34" s="265">
        <f>IF(OR($Z34="",$O34=""),0,$Z34*10%)</f>
        <v/>
      </c>
      <c r="AH34" s="265">
        <f>IF($Z34="",0,IF(AND($P34="",$Q34=""),($Z34-$AE34-$AF34-$AG34-$AJ34-$AK34-$AL34-$AM34-$AN34),IF($P34="",0,IF($Q34="",($Z34-$AE34-$AF34-$AG34-$AJ34-$AK34-$AL34-$AM34-$AN34),($Z34-$AE34-$AF34-$AG34-$AJ34-$AK34-$AL34-$AM34-$AN34)*40%/(40%+15%)))))</f>
        <v/>
      </c>
      <c r="AI34" s="265">
        <f>IF($Z34="",0,IF(AND($P34="",$Q34=""),0,IF($Q34="",0,IF($P34="",($Z34-$AE34-$AF34-$AG34-$AJ34-$AK34-$AL34-$AM34-$AN34),($Z34-$AE34-$AF34-$AG34-$AJ34-$AK34-$AL34-$AM34-$AN34)*15%/(40%+15%)))))</f>
        <v/>
      </c>
      <c r="AJ34" s="321">
        <f>IF($Z34="",0,$Z34*15%)</f>
        <v/>
      </c>
      <c r="AK34" s="265">
        <f>IF($Z34="",0,IF($R34="",0,$R34))</f>
        <v/>
      </c>
      <c r="AL34" s="265">
        <f>IF(OR($Z34="",$S34=""),0,$Z34*5%)</f>
        <v/>
      </c>
      <c r="AM34" s="265">
        <f>IF(OR($Z34="",$T34=""),0,$Z34*10%)</f>
        <v/>
      </c>
      <c r="AN34" s="265">
        <f>IF($Z34="",0,IF($U34="",0,$U34))</f>
        <v/>
      </c>
      <c r="AO34" s="265" t="n"/>
    </row>
    <row r="35" ht="17.25" customHeight="1" s="300">
      <c r="A35" s="265" t="n"/>
      <c r="B35" s="265" t="n"/>
      <c r="C35" s="265" t="n"/>
      <c r="D35" s="278" t="n"/>
      <c r="E35" s="278" t="n"/>
      <c r="F35" s="265" t="n"/>
      <c r="G35" s="265" t="n"/>
      <c r="H35" s="265" t="n"/>
      <c r="I35" s="265" t="n"/>
      <c r="J35" s="265" t="n"/>
      <c r="K35" s="265" t="n"/>
      <c r="L35" s="265" t="n"/>
      <c r="M35" s="265" t="n"/>
      <c r="N35" s="265" t="n"/>
      <c r="O35" s="265" t="n"/>
      <c r="P35" s="265" t="n"/>
      <c r="Q35" s="265" t="n"/>
      <c r="R35" s="265" t="n"/>
      <c r="S35" s="265" t="n"/>
      <c r="T35" s="265" t="n"/>
      <c r="U35" s="265" t="n"/>
      <c r="V35" s="265" t="n"/>
      <c r="W35" s="265" t="n"/>
      <c r="X35" s="265" t="n"/>
      <c r="Y35" s="265" t="n"/>
      <c r="Z35" s="279" t="n"/>
      <c r="AA35" s="265" t="n"/>
      <c r="AB35" s="265" t="n"/>
      <c r="AC35" s="265" t="n"/>
      <c r="AD35" s="265" t="n"/>
      <c r="AE35" s="265" t="n"/>
      <c r="AF35" s="265" t="n"/>
      <c r="AG35" s="265">
        <f>IF(OR($Z35="",$O35=""),0,$Z35*10%)</f>
        <v/>
      </c>
      <c r="AH35" s="265">
        <f>IF($Z35="",0,IF(AND($P35="",$Q35=""),($Z35-$AE35-$AF35-$AG35-$AJ35-$AK35-$AL35-$AM35-$AN35),IF($P35="",0,IF($Q35="",($Z35-$AE35-$AF35-$AG35-$AJ35-$AK35-$AL35-$AM35-$AN35),($Z35-$AE35-$AF35-$AG35-$AJ35-$AK35-$AL35-$AM35-$AN35)*40%/(40%+15%)))))</f>
        <v/>
      </c>
      <c r="AI35" s="265">
        <f>IF($Z35="",0,IF(AND($P35="",$Q35=""),0,IF($Q35="",0,IF($P35="",($Z35-$AE35-$AF35-$AG35-$AJ35-$AK35-$AL35-$AM35-$AN35),($Z35-$AE35-$AF35-$AG35-$AJ35-$AK35-$AL35-$AM35-$AN35)*15%/(40%+15%)))))</f>
        <v/>
      </c>
      <c r="AJ35" s="321">
        <f>IF($Z35="",0,$Z35*15%)</f>
        <v/>
      </c>
      <c r="AK35" s="265">
        <f>IF($Z35="",0,IF($R35="",0,$R35))</f>
        <v/>
      </c>
      <c r="AL35" s="265">
        <f>IF(OR($Z35="",$S35=""),0,$Z35*5%)</f>
        <v/>
      </c>
      <c r="AM35" s="265">
        <f>IF(OR($Z35="",$T35=""),0,$Z35*10%)</f>
        <v/>
      </c>
      <c r="AN35" s="265">
        <f>IF($Z35="",0,IF($U35="",0,$U35))</f>
        <v/>
      </c>
      <c r="AO35" s="265" t="n"/>
    </row>
  </sheetData>
  <mergeCells count="11">
    <mergeCell ref="A1:D1"/>
    <mergeCell ref="C30:C31"/>
    <mergeCell ref="B18:B23"/>
    <mergeCell ref="M1:V1"/>
    <mergeCell ref="C26:C29"/>
    <mergeCell ref="C3:C14"/>
    <mergeCell ref="C21:C22"/>
    <mergeCell ref="W1:AN1"/>
    <mergeCell ref="B24:B31"/>
    <mergeCell ref="C24:C25"/>
    <mergeCell ref="B3:B17"/>
  </mergeCells>
  <hyperlinks>
    <hyperlink xmlns:r="http://schemas.openxmlformats.org/officeDocument/2006/relationships" ref="E13" r:id="rId1"/>
    <hyperlink xmlns:r="http://schemas.openxmlformats.org/officeDocument/2006/relationships" ref="E14" r:id="rId2"/>
    <hyperlink xmlns:r="http://schemas.openxmlformats.org/officeDocument/2006/relationships" ref="E22" r:id="rId3"/>
    <hyperlink xmlns:r="http://schemas.openxmlformats.org/officeDocument/2006/relationships" ref="E25" r:id="rId4"/>
  </hyperlink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R15"/>
  <sheetViews>
    <sheetView topLeftCell="C1" workbookViewId="0">
      <selection activeCell="F13" sqref="F13"/>
    </sheetView>
  </sheetViews>
  <sheetFormatPr baseColWidth="8" defaultRowHeight="14.4"/>
  <cols>
    <col width="22.5546875" customWidth="1" style="300" min="1" max="1"/>
    <col width="11" bestFit="1" customWidth="1" style="300" min="2" max="2"/>
    <col width="10" bestFit="1" customWidth="1" style="300" min="3" max="3"/>
    <col width="10.5546875" bestFit="1" customWidth="1" style="300" min="4" max="4"/>
    <col width="19.44140625" bestFit="1" customWidth="1" style="300" min="5" max="5"/>
    <col width="12.33203125" bestFit="1" customWidth="1" style="300" min="6" max="6"/>
  </cols>
  <sheetData>
    <row r="1">
      <c r="B1" s="7" t="inlineStr">
        <is>
          <t>Most Likely</t>
        </is>
      </c>
      <c r="C1" s="7" t="inlineStr">
        <is>
          <t>Optimistic</t>
        </is>
      </c>
      <c r="D1" s="7" t="inlineStr">
        <is>
          <t>Pessimistic</t>
        </is>
      </c>
      <c r="E1" s="7" t="inlineStr">
        <is>
          <t>Calculated Estimates</t>
        </is>
      </c>
      <c r="F1" s="7" t="inlineStr">
        <is>
          <t>TK Approved</t>
        </is>
      </c>
    </row>
    <row r="2">
      <c r="A2" t="inlineStr">
        <is>
          <t>OmniConnect</t>
        </is>
      </c>
      <c r="B2" s="56">
        <f>'Technical Support Raw Data'!F10</f>
        <v/>
      </c>
      <c r="C2" s="271">
        <f>B2-(B2 * 50%)</f>
        <v/>
      </c>
      <c r="D2" s="271">
        <f>B2 + (C2 * 10%)</f>
        <v/>
      </c>
      <c r="E2" s="123">
        <f>(C2+(4*B2)+D2)/6</f>
        <v/>
      </c>
      <c r="F2" s="169">
        <f>E2/2</f>
        <v/>
      </c>
    </row>
    <row r="3">
      <c r="A3" t="inlineStr">
        <is>
          <t>Digital Log</t>
        </is>
      </c>
      <c r="B3" s="56">
        <f>'Technical Support Raw Data'!F11</f>
        <v/>
      </c>
      <c r="C3" s="271">
        <f>B3-(B3 * 50%)</f>
        <v/>
      </c>
      <c r="D3" s="271">
        <f>B3 + (C3 * 10%)</f>
        <v/>
      </c>
      <c r="E3" s="123">
        <f>(C3+(4*B3)+D3)/6</f>
        <v/>
      </c>
      <c r="F3" s="169">
        <f>E3/2</f>
        <v/>
      </c>
    </row>
    <row r="4">
      <c r="A4" t="inlineStr">
        <is>
          <t>Fintech Fuel</t>
        </is>
      </c>
      <c r="B4" s="56">
        <f>'Technical Support Raw Data'!F12</f>
        <v/>
      </c>
      <c r="C4" s="271">
        <f>B4-(B4 * 50%)</f>
        <v/>
      </c>
      <c r="D4" s="271">
        <f>B4 + (C4 * 10%)</f>
        <v/>
      </c>
      <c r="E4" s="123">
        <f>(C4+(4*B4)+D4)/6</f>
        <v/>
      </c>
      <c r="F4" s="169">
        <f>E4/2</f>
        <v/>
      </c>
    </row>
    <row r="5">
      <c r="A5" t="inlineStr">
        <is>
          <t>OmniChat</t>
        </is>
      </c>
      <c r="B5" s="56">
        <f>'Technical Support Raw Data'!F13</f>
        <v/>
      </c>
      <c r="C5" s="271">
        <f>B5-(B5 * 50%)</f>
        <v/>
      </c>
      <c r="D5" s="271">
        <f>B5 + (C5 * 10%)</f>
        <v/>
      </c>
      <c r="E5" s="123">
        <f>(C5+(4*B5)+D5)/6</f>
        <v/>
      </c>
      <c r="F5" s="169">
        <f>E5/2</f>
        <v/>
      </c>
    </row>
    <row r="6">
      <c r="A6" t="inlineStr">
        <is>
          <t>Subscription Management</t>
        </is>
      </c>
      <c r="B6" s="56">
        <f>'Technical Support Raw Data'!F13</f>
        <v/>
      </c>
      <c r="C6" s="271">
        <f>B6-(B6 * 50%)</f>
        <v/>
      </c>
      <c r="D6" s="271">
        <f>B6 + (C6 * 10%)</f>
        <v/>
      </c>
      <c r="E6" s="123">
        <f>(C6+(4*B6)+D6)/6</f>
        <v/>
      </c>
      <c r="F6" s="169">
        <f>E6/2</f>
        <v/>
      </c>
    </row>
    <row r="8">
      <c r="J8" t="inlineStr">
        <is>
          <t>April - June</t>
        </is>
      </c>
    </row>
    <row r="9">
      <c r="J9" t="n">
        <v>65</v>
      </c>
      <c r="K9" t="inlineStr">
        <is>
          <t>total days</t>
        </is>
      </c>
      <c r="L9" s="56">
        <f>J9/3</f>
        <v/>
      </c>
      <c r="M9" t="inlineStr">
        <is>
          <t>days per month</t>
        </is>
      </c>
    </row>
    <row r="10">
      <c r="J10">
        <f>L10*L9</f>
        <v/>
      </c>
      <c r="K10" t="inlineStr">
        <is>
          <t>Capacity</t>
        </is>
      </c>
      <c r="L10" t="n">
        <v>31</v>
      </c>
      <c r="M10" t="inlineStr">
        <is>
          <t>RnD Team</t>
        </is>
      </c>
    </row>
    <row r="11">
      <c r="J11" t="n">
        <v>38</v>
      </c>
      <c r="K11" t="inlineStr">
        <is>
          <t>Leaves</t>
        </is>
      </c>
    </row>
    <row r="12">
      <c r="E12" t="n">
        <v>30</v>
      </c>
      <c r="F12" t="inlineStr">
        <is>
          <t>heads</t>
        </is>
      </c>
      <c r="J12">
        <f>J10-J11</f>
        <v/>
      </c>
      <c r="K12" t="inlineStr">
        <is>
          <t>Availability</t>
        </is>
      </c>
    </row>
    <row r="13">
      <c r="J13">
        <f>J12/18</f>
        <v/>
      </c>
      <c r="K13" t="inlineStr">
        <is>
          <t>per resource availability</t>
        </is>
      </c>
    </row>
    <row r="14">
      <c r="J14">
        <f>(J13*3)*3</f>
        <v/>
      </c>
      <c r="K14" t="inlineStr">
        <is>
          <t>3 support days in 3 months</t>
        </is>
      </c>
      <c r="N14">
        <f>J14</f>
        <v/>
      </c>
      <c r="O14" s="271">
        <f>N14-(N14 * 50%)</f>
        <v/>
      </c>
      <c r="P14" s="271">
        <f>N14 + (N14 * 10%)</f>
        <v/>
      </c>
      <c r="Q14" s="123">
        <f>(O14+(4*N14)+P14)/6</f>
        <v/>
      </c>
      <c r="R14" s="169">
        <f>Q14/2</f>
        <v/>
      </c>
    </row>
    <row r="15">
      <c r="J15">
        <f>J14/3</f>
        <v/>
      </c>
      <c r="K15" t="inlineStr">
        <is>
          <t>per month support</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B1:G13"/>
  <sheetViews>
    <sheetView workbookViewId="0">
      <selection activeCell="B2" sqref="B2:F5"/>
    </sheetView>
  </sheetViews>
  <sheetFormatPr baseColWidth="8" defaultRowHeight="14.4"/>
  <cols>
    <col width="18.33203125" customWidth="1" style="300" min="2" max="2"/>
    <col width="10.44140625" bestFit="1" customWidth="1" style="300" min="7" max="7"/>
  </cols>
  <sheetData>
    <row r="1">
      <c r="B1" s="162" t="inlineStr">
        <is>
          <t>ACTUAL  HOURS</t>
        </is>
      </c>
      <c r="C1" s="7" t="inlineStr">
        <is>
          <t>Jan</t>
        </is>
      </c>
      <c r="D1" s="7" t="inlineStr">
        <is>
          <t>Feb</t>
        </is>
      </c>
      <c r="E1" s="7" t="inlineStr">
        <is>
          <t>March</t>
        </is>
      </c>
      <c r="F1" s="7" t="inlineStr">
        <is>
          <t>Avg</t>
        </is>
      </c>
      <c r="G1" s="7" t="n"/>
    </row>
    <row r="2">
      <c r="B2" s="7" t="inlineStr">
        <is>
          <t>OmniConnect</t>
        </is>
      </c>
      <c r="C2" t="n">
        <v>48</v>
      </c>
      <c r="D2" t="n">
        <v>48</v>
      </c>
      <c r="E2" t="n">
        <v>29</v>
      </c>
      <c r="F2" s="56">
        <f>AVERAGE(C2:E2)</f>
        <v/>
      </c>
    </row>
    <row r="3">
      <c r="B3" s="7" t="inlineStr">
        <is>
          <t>Digital Log</t>
        </is>
      </c>
      <c r="D3" t="n">
        <v>8</v>
      </c>
      <c r="E3" t="n">
        <v>12</v>
      </c>
      <c r="F3">
        <f>AVERAGE(C3:E3)</f>
        <v/>
      </c>
    </row>
    <row r="4">
      <c r="B4" s="7" t="inlineStr">
        <is>
          <t>Fintech Fuel</t>
        </is>
      </c>
      <c r="E4" t="n">
        <v>34</v>
      </c>
      <c r="F4">
        <f>AVERAGE(C4:E4)</f>
        <v/>
      </c>
    </row>
    <row r="5">
      <c r="F5" s="56">
        <f>AVERAGE(F2:F4)</f>
        <v/>
      </c>
      <c r="G5" s="56" t="inlineStr">
        <is>
          <t>hours</t>
        </is>
      </c>
    </row>
    <row r="9">
      <c r="B9" s="162" t="inlineStr">
        <is>
          <t>ACTUAL  DAYS</t>
        </is>
      </c>
      <c r="C9" s="7" t="inlineStr">
        <is>
          <t>Jan</t>
        </is>
      </c>
      <c r="D9" s="7" t="inlineStr">
        <is>
          <t>Feb</t>
        </is>
      </c>
      <c r="E9" s="7" t="inlineStr">
        <is>
          <t>March</t>
        </is>
      </c>
      <c r="F9" s="7" t="inlineStr">
        <is>
          <t>Avg</t>
        </is>
      </c>
    </row>
    <row r="10">
      <c r="B10" s="7" t="inlineStr">
        <is>
          <t>OmniConnect</t>
        </is>
      </c>
      <c r="C10">
        <f>C2/8</f>
        <v/>
      </c>
      <c r="D10">
        <f>D2/8</f>
        <v/>
      </c>
      <c r="E10">
        <f>E2/8</f>
        <v/>
      </c>
      <c r="F10" s="56">
        <f>AVERAGE(C10:E10)</f>
        <v/>
      </c>
    </row>
    <row r="11">
      <c r="B11" s="7" t="inlineStr">
        <is>
          <t>Digital Log</t>
        </is>
      </c>
      <c r="D11">
        <f>D3/8</f>
        <v/>
      </c>
      <c r="E11">
        <f>E3/8</f>
        <v/>
      </c>
      <c r="F11">
        <f>AVERAGE(C11:E11)</f>
        <v/>
      </c>
    </row>
    <row r="12">
      <c r="B12" s="7" t="inlineStr">
        <is>
          <t>Fintech Fuel</t>
        </is>
      </c>
      <c r="E12">
        <f>E4/8</f>
        <v/>
      </c>
      <c r="F12">
        <f>AVERAGE(C12:E12)</f>
        <v/>
      </c>
    </row>
    <row r="13">
      <c r="F13" s="56">
        <f>AVERAGE(F10:F12)</f>
        <v/>
      </c>
      <c r="G13" t="inlineStr">
        <is>
          <t>days</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B1:M23"/>
  <sheetViews>
    <sheetView workbookViewId="0">
      <selection activeCell="I3" sqref="I3"/>
    </sheetView>
  </sheetViews>
  <sheetFormatPr baseColWidth="8" defaultRowHeight="14.4"/>
  <cols>
    <col width="13.33203125" customWidth="1" style="300" min="2" max="2"/>
    <col width="12" customWidth="1" style="300" min="3" max="3"/>
    <col width="13.109375" customWidth="1" style="300" min="4" max="5"/>
    <col width="15.6640625" customWidth="1" style="300" min="6" max="6"/>
    <col width="13.44140625" customWidth="1" style="300" min="7" max="7"/>
    <col width="12.109375" customWidth="1" style="300" min="9" max="9"/>
  </cols>
  <sheetData>
    <row r="1" ht="15" customHeight="1" s="300">
      <c r="B1" s="162" t="inlineStr">
        <is>
          <t>FORMULA EXERCISE</t>
        </is>
      </c>
      <c r="I1" s="129" t="n"/>
      <c r="J1" s="130" t="n"/>
      <c r="K1" s="130" t="n"/>
      <c r="L1" s="130" t="n"/>
      <c r="M1" s="131" t="n"/>
    </row>
    <row r="2" ht="21" customHeight="1" s="300">
      <c r="B2" s="7" t="inlineStr">
        <is>
          <t>Stage</t>
        </is>
      </c>
      <c r="C2" s="7" t="inlineStr">
        <is>
          <t>Optimistics</t>
        </is>
      </c>
      <c r="D2" s="7" t="inlineStr">
        <is>
          <t>Most likey</t>
        </is>
      </c>
      <c r="E2" s="7" t="inlineStr">
        <is>
          <t>%</t>
        </is>
      </c>
      <c r="F2" s="7" t="inlineStr">
        <is>
          <t>Pessimistics</t>
        </is>
      </c>
      <c r="G2" s="7" t="inlineStr">
        <is>
          <t>Formula</t>
        </is>
      </c>
      <c r="I2" s="139" t="n">
        <v>0</v>
      </c>
      <c r="J2" s="132" t="inlineStr">
        <is>
          <t>Sheet-wise totals</t>
        </is>
      </c>
      <c r="K2" s="133" t="n"/>
      <c r="L2" s="133" t="n"/>
      <c r="M2" s="134" t="n"/>
    </row>
    <row r="3" ht="15" customHeight="1" s="300">
      <c r="B3" t="inlineStr">
        <is>
          <t>URS</t>
        </is>
      </c>
      <c r="C3">
        <f>D3-(D3*0.5)</f>
        <v/>
      </c>
      <c r="D3" s="21" t="n">
        <v>8</v>
      </c>
      <c r="E3" s="36">
        <f>D3/$D$9</f>
        <v/>
      </c>
      <c r="F3">
        <f>D3+(D3*0.1)</f>
        <v/>
      </c>
      <c r="I3" s="135" t="n"/>
      <c r="J3" s="133" t="n"/>
      <c r="K3" s="133" t="n"/>
      <c r="L3" s="133" t="n"/>
      <c r="M3" s="134" t="n"/>
    </row>
    <row r="4" ht="15" customHeight="1" s="300">
      <c r="B4" t="inlineStr">
        <is>
          <t>DDS</t>
        </is>
      </c>
      <c r="C4">
        <f>D4-(D4*0.5)</f>
        <v/>
      </c>
      <c r="D4" s="21" t="n">
        <v>15</v>
      </c>
      <c r="E4" s="36">
        <f>D4/$D$9</f>
        <v/>
      </c>
      <c r="F4">
        <f>D4+(D4*0.1)</f>
        <v/>
      </c>
      <c r="I4" s="135" t="inlineStr">
        <is>
          <t>0 = dont show sheet wise total</t>
        </is>
      </c>
      <c r="J4" s="133" t="n"/>
      <c r="K4" s="133" t="n"/>
      <c r="L4" s="133" t="n"/>
      <c r="M4" s="134" t="n"/>
    </row>
    <row r="5" ht="15" customHeight="1" s="300">
      <c r="B5" t="inlineStr">
        <is>
          <t>DEV</t>
        </is>
      </c>
      <c r="C5">
        <f>D5-(D5*0.5)</f>
        <v/>
      </c>
      <c r="D5" s="21" t="n">
        <v>45</v>
      </c>
      <c r="E5" s="36">
        <f>D5/$D$9</f>
        <v/>
      </c>
      <c r="F5">
        <f>D5+(D5*0.1)</f>
        <v/>
      </c>
      <c r="I5" s="136" t="inlineStr">
        <is>
          <t>1 = show sheet wise total (will disturb summary tab)</t>
        </is>
      </c>
      <c r="J5" s="137" t="n"/>
      <c r="K5" s="137" t="n"/>
      <c r="L5" s="137" t="n"/>
      <c r="M5" s="138" t="n"/>
    </row>
    <row r="6" ht="15" customHeight="1" s="300">
      <c r="B6" t="inlineStr">
        <is>
          <t>SQA</t>
        </is>
      </c>
      <c r="C6">
        <f>D6-(D6*0.5)</f>
        <v/>
      </c>
      <c r="D6" s="21" t="n">
        <v>15</v>
      </c>
      <c r="E6" s="36">
        <f>D6/$D$9</f>
        <v/>
      </c>
      <c r="F6">
        <f>D6+(D6*0.1)</f>
        <v/>
      </c>
    </row>
    <row r="7" ht="15" customHeight="1" s="300">
      <c r="B7" t="inlineStr">
        <is>
          <t>Doc</t>
        </is>
      </c>
      <c r="C7">
        <f>D7-(D7*0.5)</f>
        <v/>
      </c>
      <c r="D7" s="21" t="n">
        <v>2</v>
      </c>
      <c r="E7" s="36">
        <f>D7/$D$9</f>
        <v/>
      </c>
      <c r="F7">
        <f>D7+(D7*0.1)</f>
        <v/>
      </c>
    </row>
    <row r="8" ht="15" customHeight="1" s="300">
      <c r="B8" t="inlineStr">
        <is>
          <t>Buffer</t>
        </is>
      </c>
      <c r="C8">
        <f>D8-(D8*0.5)</f>
        <v/>
      </c>
      <c r="D8" s="21" t="n">
        <v>5</v>
      </c>
      <c r="E8" s="36">
        <f>D8/$D$9</f>
        <v/>
      </c>
      <c r="F8">
        <f>D8+(D8*0.1)</f>
        <v/>
      </c>
    </row>
    <row r="9" ht="15" customHeight="1" s="300">
      <c r="C9">
        <f>SUM(C3:C8)</f>
        <v/>
      </c>
      <c r="D9" s="21">
        <f>SUM(D3:D8)</f>
        <v/>
      </c>
      <c r="F9">
        <f>SUM(F3:F8)</f>
        <v/>
      </c>
      <c r="G9">
        <f>(C9+(4*D9)+F9)/6</f>
        <v/>
      </c>
    </row>
    <row r="10" ht="15" customHeight="1" s="300"/>
    <row r="11" ht="15" customHeight="1" s="300"/>
    <row r="12" ht="15" customHeight="1" s="300"/>
    <row r="15" ht="15" customHeight="1" s="300"/>
    <row r="17" ht="15" customHeight="1" s="300"/>
    <row r="18" ht="15" customHeight="1" s="300"/>
    <row r="19" ht="15" customHeight="1" s="300">
      <c r="I19" s="7" t="inlineStr">
        <is>
          <t>Sheet names</t>
        </is>
      </c>
    </row>
    <row r="20" ht="15" customHeight="1" s="300">
      <c r="I20" t="inlineStr">
        <is>
          <t>OmniConnect RMI</t>
        </is>
      </c>
    </row>
    <row r="21" ht="15" customHeight="1" s="300">
      <c r="I21" t="inlineStr">
        <is>
          <t>Fintech Fuel RMI</t>
        </is>
      </c>
    </row>
    <row r="22" ht="15" customHeight="1" s="300">
      <c r="I22" t="inlineStr">
        <is>
          <t>OmniChat RMI</t>
        </is>
      </c>
    </row>
    <row r="23" ht="15" customHeight="1" s="300">
      <c r="I23" t="inlineStr">
        <is>
          <t>Digital Log RMI</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I5"/>
  <sheetViews>
    <sheetView workbookViewId="0">
      <selection activeCell="D17" sqref="D17"/>
    </sheetView>
  </sheetViews>
  <sheetFormatPr baseColWidth="8" defaultRowHeight="14.4"/>
  <cols>
    <col width="6.6640625" customWidth="1" style="300" min="1" max="1"/>
    <col width="19.44140625" customWidth="1" style="300" min="2" max="2"/>
    <col width="20.109375" customWidth="1" style="300" min="3" max="3"/>
    <col width="51.109375" customWidth="1" style="300" min="4" max="4"/>
    <col width="12.44140625" customWidth="1" style="300" min="5" max="5"/>
    <col width="10" customWidth="1" style="300" min="6" max="6"/>
    <col width="7.6640625" customWidth="1" style="300" min="7" max="7"/>
    <col width="11.6640625" customWidth="1" style="300" min="8" max="8"/>
  </cols>
  <sheetData>
    <row r="1">
      <c r="A1" s="7" t="inlineStr">
        <is>
          <t>Misc Road map Items</t>
        </is>
      </c>
      <c r="B1" s="7" t="n"/>
      <c r="C1" s="31" t="n"/>
      <c r="D1" s="7" t="n"/>
      <c r="E1" s="7" t="n"/>
      <c r="F1" s="7" t="n"/>
      <c r="G1" s="7" t="n"/>
      <c r="H1" s="7" t="n"/>
    </row>
    <row r="2" ht="15" customHeight="1" s="300" thickBot="1">
      <c r="A2" s="3" t="inlineStr">
        <is>
          <t>Sr #</t>
        </is>
      </c>
      <c r="B2" s="3" t="inlineStr">
        <is>
          <t>Category</t>
        </is>
      </c>
      <c r="C2" s="32" t="inlineStr">
        <is>
          <t>Components</t>
        </is>
      </c>
      <c r="D2" s="27" t="inlineStr">
        <is>
          <t>Road Map Items</t>
        </is>
      </c>
      <c r="E2" s="25" t="inlineStr">
        <is>
          <t>Originator</t>
        </is>
      </c>
      <c r="F2" s="25" t="inlineStr">
        <is>
          <t>Value</t>
        </is>
      </c>
      <c r="G2" s="25" t="inlineStr">
        <is>
          <t>Priority</t>
        </is>
      </c>
      <c r="H2" s="25" t="inlineStr">
        <is>
          <t>Plan Status</t>
        </is>
      </c>
      <c r="I2" s="25" t="inlineStr">
        <is>
          <t>Man Days</t>
        </is>
      </c>
    </row>
    <row r="3" ht="28.95" customHeight="1" s="300">
      <c r="A3" s="4" t="n">
        <v>1</v>
      </c>
      <c r="B3" s="324" t="inlineStr">
        <is>
          <t>Azure Cost</t>
        </is>
      </c>
      <c r="C3" s="34" t="inlineStr">
        <is>
          <t>Azure monthly cost management</t>
        </is>
      </c>
      <c r="D3" s="28" t="inlineStr">
        <is>
          <t>Dashboard Cost Distribution</t>
        </is>
      </c>
      <c r="E3" s="1" t="n"/>
      <c r="F3" s="1" t="n"/>
      <c r="G3" s="1" t="n">
        <v>1</v>
      </c>
      <c r="H3" s="1" t="inlineStr">
        <is>
          <t>Plan</t>
        </is>
      </c>
      <c r="I3" s="1" t="n">
        <v>6</v>
      </c>
    </row>
    <row r="4">
      <c r="A4" s="6" t="n"/>
      <c r="B4" s="290" t="n"/>
      <c r="C4" s="289" t="inlineStr">
        <is>
          <t>Cost Optimization</t>
        </is>
      </c>
      <c r="D4" s="30" t="inlineStr">
        <is>
          <t>Evaluate Cost optimization potential</t>
        </is>
      </c>
      <c r="E4" s="1" t="n"/>
      <c r="F4" s="1" t="n"/>
      <c r="G4" s="1" t="n">
        <v>1</v>
      </c>
      <c r="H4" s="1" t="inlineStr">
        <is>
          <t>UnPlan</t>
        </is>
      </c>
      <c r="I4" s="1" t="n">
        <v>6</v>
      </c>
    </row>
    <row r="5">
      <c r="A5" s="5" t="n">
        <v>3</v>
      </c>
      <c r="B5" s="288" t="n"/>
      <c r="C5" s="288" t="n"/>
      <c r="D5" s="29" t="inlineStr">
        <is>
          <t>Cost Optimization</t>
        </is>
      </c>
      <c r="E5" s="1" t="n"/>
      <c r="F5" s="1" t="n"/>
      <c r="G5" s="1" t="n">
        <v>1</v>
      </c>
      <c r="H5" s="1" t="inlineStr">
        <is>
          <t>UnPlan</t>
        </is>
      </c>
      <c r="I5" s="1" t="n">
        <v>15</v>
      </c>
    </row>
  </sheetData>
  <mergeCells count="2">
    <mergeCell ref="C4:C5"/>
    <mergeCell ref="B3:B5"/>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D3:M15"/>
  <sheetViews>
    <sheetView workbookViewId="0">
      <selection activeCell="C2" sqref="C2:M16"/>
    </sheetView>
  </sheetViews>
  <sheetFormatPr baseColWidth="8" defaultRowHeight="14.4"/>
  <cols>
    <col width="16" bestFit="1" customWidth="1" style="300" min="5" max="5"/>
    <col width="23.88671875" customWidth="1" style="300" min="6" max="6"/>
    <col width="16" bestFit="1" customWidth="1" style="300" min="9" max="9"/>
  </cols>
  <sheetData>
    <row r="3">
      <c r="D3" s="325" t="inlineStr">
        <is>
          <t>Long Format</t>
        </is>
      </c>
      <c r="I3" s="325" t="inlineStr">
        <is>
          <t>Wide Format</t>
        </is>
      </c>
    </row>
    <row r="5">
      <c r="D5" t="inlineStr">
        <is>
          <t>tagName</t>
        </is>
      </c>
      <c r="E5" t="inlineStr">
        <is>
          <t>Timestamp</t>
        </is>
      </c>
      <c r="F5" t="inlineStr">
        <is>
          <t>Value</t>
        </is>
      </c>
      <c r="I5" t="inlineStr">
        <is>
          <t>Timestamp</t>
        </is>
      </c>
      <c r="J5" t="inlineStr">
        <is>
          <t>R1</t>
        </is>
      </c>
      <c r="K5" t="inlineStr">
        <is>
          <t>R2</t>
        </is>
      </c>
      <c r="L5" t="inlineStr">
        <is>
          <t>R3</t>
        </is>
      </c>
      <c r="M5" t="inlineStr">
        <is>
          <t>R4</t>
        </is>
      </c>
    </row>
    <row r="6">
      <c r="D6" t="inlineStr">
        <is>
          <t>R1</t>
        </is>
      </c>
      <c r="E6" s="199" t="n">
        <v>46120.47361111111</v>
      </c>
      <c r="F6" t="n">
        <v>15</v>
      </c>
      <c r="I6" s="199" t="n">
        <v>46120.475</v>
      </c>
      <c r="J6" t="n">
        <v>15</v>
      </c>
      <c r="K6" t="n">
        <v>16</v>
      </c>
      <c r="L6" t="n">
        <v>17</v>
      </c>
      <c r="M6" t="n">
        <v>18</v>
      </c>
    </row>
    <row r="7">
      <c r="D7" t="inlineStr">
        <is>
          <t>R2</t>
        </is>
      </c>
      <c r="E7" s="199" t="n">
        <v>46121.47361111111</v>
      </c>
      <c r="F7" t="n">
        <v>16</v>
      </c>
      <c r="I7" s="199" t="n">
        <v>46121.47499994213</v>
      </c>
      <c r="J7" t="n">
        <v>16</v>
      </c>
      <c r="K7" t="n">
        <v>17</v>
      </c>
      <c r="L7" t="n">
        <v>17</v>
      </c>
      <c r="M7" t="n">
        <v>18</v>
      </c>
    </row>
    <row r="8">
      <c r="D8" t="inlineStr">
        <is>
          <t>R3</t>
        </is>
      </c>
      <c r="E8" s="199" t="n">
        <v>46122.47361111111</v>
      </c>
      <c r="F8" t="n">
        <v>17</v>
      </c>
      <c r="I8" s="199" t="n">
        <v>46122.47499994213</v>
      </c>
      <c r="J8" t="n">
        <v>17</v>
      </c>
      <c r="K8" t="n">
        <v>18</v>
      </c>
      <c r="L8" t="n">
        <v>17</v>
      </c>
      <c r="M8" t="n">
        <v>18</v>
      </c>
    </row>
    <row r="9">
      <c r="D9" t="inlineStr">
        <is>
          <t>R4</t>
        </is>
      </c>
      <c r="E9" s="199" t="n">
        <v>46123.47361111111</v>
      </c>
      <c r="F9" t="n">
        <v>18</v>
      </c>
      <c r="I9" s="199" t="n">
        <v>46123.47499994213</v>
      </c>
      <c r="J9" t="n">
        <v>18</v>
      </c>
      <c r="K9" t="n">
        <v>19</v>
      </c>
      <c r="L9" t="n">
        <v>17</v>
      </c>
      <c r="M9" t="n">
        <v>18</v>
      </c>
    </row>
    <row r="10">
      <c r="D10" t="inlineStr">
        <is>
          <t>R5</t>
        </is>
      </c>
      <c r="E10" s="199" t="n">
        <v>46124.47361111111</v>
      </c>
      <c r="F10" t="n">
        <v>19</v>
      </c>
      <c r="I10" s="199" t="n">
        <v>46124.47499994213</v>
      </c>
      <c r="J10" t="n">
        <v>19</v>
      </c>
      <c r="K10" t="n">
        <v>20</v>
      </c>
      <c r="L10" t="n">
        <v>17</v>
      </c>
      <c r="M10" t="n">
        <v>18</v>
      </c>
    </row>
    <row r="11">
      <c r="D11" t="inlineStr">
        <is>
          <t>R6</t>
        </is>
      </c>
      <c r="E11" s="199" t="n">
        <v>46125.47361111111</v>
      </c>
      <c r="F11" t="n">
        <v>20</v>
      </c>
      <c r="I11" s="199" t="n">
        <v>46125.47499994213</v>
      </c>
      <c r="J11" t="n">
        <v>20</v>
      </c>
      <c r="K11" t="n">
        <v>21</v>
      </c>
      <c r="L11" t="n">
        <v>17</v>
      </c>
      <c r="M11" t="n">
        <v>18</v>
      </c>
    </row>
    <row r="12">
      <c r="D12" t="inlineStr">
        <is>
          <t>R7</t>
        </is>
      </c>
      <c r="E12" s="199" t="n">
        <v>46126.47361111111</v>
      </c>
      <c r="F12" t="n">
        <v>21</v>
      </c>
      <c r="I12" s="199" t="n">
        <v>46126.47499994213</v>
      </c>
      <c r="J12" t="n">
        <v>21</v>
      </c>
      <c r="K12" t="n">
        <v>22</v>
      </c>
      <c r="L12" t="n">
        <v>17</v>
      </c>
      <c r="M12" t="n">
        <v>18</v>
      </c>
    </row>
    <row r="13">
      <c r="D13" t="inlineStr">
        <is>
          <t>R8</t>
        </is>
      </c>
      <c r="E13" s="199" t="n">
        <v>46127.47361111111</v>
      </c>
      <c r="F13" t="n">
        <v>22</v>
      </c>
    </row>
    <row r="14">
      <c r="D14" t="inlineStr">
        <is>
          <t>R9</t>
        </is>
      </c>
      <c r="E14" s="199" t="n">
        <v>46128.47361111111</v>
      </c>
      <c r="F14" t="n">
        <v>23</v>
      </c>
    </row>
    <row r="15">
      <c r="D15" t="inlineStr">
        <is>
          <t>R10</t>
        </is>
      </c>
      <c r="E15" s="199" t="n">
        <v>46129.47361111111</v>
      </c>
      <c r="F15" t="n">
        <v>24</v>
      </c>
    </row>
  </sheetData>
  <mergeCells count="2">
    <mergeCell ref="I3:M3"/>
    <mergeCell ref="D3:F3"/>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D45"/>
  <sheetViews>
    <sheetView topLeftCell="A11" workbookViewId="0">
      <selection activeCell="B16" sqref="B16"/>
    </sheetView>
  </sheetViews>
  <sheetFormatPr baseColWidth="8" defaultRowHeight="14.4"/>
  <cols>
    <col width="57.109375" bestFit="1" customWidth="1" style="300" min="1" max="1"/>
    <col width="39.109375" bestFit="1" customWidth="1" style="300" min="2" max="2"/>
    <col width="46.6640625" bestFit="1" customWidth="1" style="300" min="3" max="3"/>
    <col width="53" bestFit="1" customWidth="1" style="300" min="4" max="4"/>
  </cols>
  <sheetData>
    <row r="1">
      <c r="A1" s="73" t="inlineStr">
        <is>
          <t>Scenario</t>
        </is>
      </c>
      <c r="B1" s="73" t="inlineStr">
        <is>
          <t>Current Solution (200 Only)</t>
        </is>
      </c>
      <c r="C1" s="73" t="inlineStr">
        <is>
          <t>Proposed Solution (200 / 206)</t>
        </is>
      </c>
      <c r="D1" s="73" t="inlineStr">
        <is>
          <t>Interpretation Improvement</t>
        </is>
      </c>
    </row>
    <row r="2">
      <c r="A2" s="73" t="inlineStr">
        <is>
          <t>No data available (device off / no value at timestamp)</t>
        </is>
      </c>
      <c r="B2" s="70" t="inlineStr">
        <is>
          <t>Returns 200 OK with</t>
        </is>
      </c>
      <c r="C2" s="70" t="inlineStr">
        <is>
          <t>Returns 200 OK with</t>
        </is>
      </c>
      <c r="D2" s="70" t="inlineStr">
        <is>
          <t>No change — this is a valid absence of data</t>
        </is>
      </c>
    </row>
    <row r="3">
      <c r="A3" s="70" t="n"/>
      <c r="B3" s="70" t="inlineStr">
        <is>
          <t>null</t>
        </is>
      </c>
      <c r="C3" s="70" t="inlineStr">
        <is>
          <t>null</t>
        </is>
      </c>
      <c r="D3" s="70" t="n"/>
    </row>
    <row r="4">
      <c r="A4" s="73" t="inlineStr">
        <is>
          <t>Unexpected device behavior (invalid/null ingestion)</t>
        </is>
      </c>
      <c r="B4" s="70" t="inlineStr">
        <is>
          <t>Returns 200 OK with</t>
        </is>
      </c>
      <c r="C4" s="70" t="inlineStr">
        <is>
          <t>Returns 200 OK with</t>
        </is>
      </c>
      <c r="D4" s="70" t="inlineStr">
        <is>
          <t>No change — still treated as valid but anomalous data</t>
        </is>
      </c>
    </row>
    <row r="5">
      <c r="A5" s="70" t="n"/>
      <c r="B5" s="70" t="inlineStr">
        <is>
          <t>null</t>
        </is>
      </c>
      <c r="C5" s="70" t="inlineStr">
        <is>
          <t>null</t>
        </is>
      </c>
      <c r="D5" s="70" t="n"/>
    </row>
    <row r="6">
      <c r="A6" s="73" t="inlineStr">
        <is>
          <t>Data not yet available (eventual consistency, e.g., ADX delay)</t>
        </is>
      </c>
      <c r="B6" s="70" t="inlineStr">
        <is>
          <t>Returns 200 OK with</t>
        </is>
      </c>
      <c r="C6" s="70" t="inlineStr">
        <is>
          <t>Returns 206 Partial Content with</t>
        </is>
      </c>
      <c r="D6" s="70" t="inlineStr">
        <is>
          <t>Clear distinction: indicates data is incomplete, not absent</t>
        </is>
      </c>
    </row>
    <row r="7">
      <c r="A7" s="70" t="n"/>
      <c r="B7" s="70" t="inlineStr">
        <is>
          <t>null</t>
        </is>
      </c>
      <c r="C7" s="70" t="inlineStr">
        <is>
          <t>null</t>
        </is>
      </c>
      <c r="D7" s="70" t="n"/>
    </row>
    <row r="8">
      <c r="A8" s="73" t="inlineStr">
        <is>
          <t>Client’s ability to distinguish null cause</t>
        </is>
      </c>
      <c r="B8" s="73" t="inlineStr">
        <is>
          <t>Not possible — all nulls look identical</t>
        </is>
      </c>
      <c r="C8" s="73" t="inlineStr">
        <is>
          <t>Improved — 206 signals incomplete/partial data</t>
        </is>
      </c>
      <c r="D8" s="70" t="inlineStr">
        <is>
          <t>Enables better downstream handling and retries.</t>
        </is>
      </c>
    </row>
    <row r="9">
      <c r="A9" s="73" t="inlineStr">
        <is>
          <t>Risk of silent data quality issues</t>
        </is>
      </c>
      <c r="B9" s="73" t="inlineStr">
        <is>
          <t>High — incomplete data may go unnoticed</t>
        </is>
      </c>
      <c r="C9" s="73" t="inlineStr">
        <is>
          <t>Reduced — partial responses are explicitly flagged.</t>
        </is>
      </c>
      <c r="D9" s="70" t="inlineStr">
        <is>
          <t>Improves observability and data integrity.</t>
        </is>
      </c>
    </row>
    <row r="10">
      <c r="A10" s="73" t="inlineStr">
        <is>
          <t>Downstream system behavior (data marts, dashboards)</t>
        </is>
      </c>
      <c r="B10" s="70" t="inlineStr">
        <is>
          <t>May ingest incomplete data unknowingly</t>
        </is>
      </c>
      <c r="C10" s="70" t="inlineStr">
        <is>
          <t>Can implement safeguards (retry, delay ingestion)</t>
        </is>
      </c>
      <c r="D10" s="70" t="inlineStr">
        <is>
          <t>Prevents long-term data inconsistencies</t>
        </is>
      </c>
    </row>
    <row r="15">
      <c r="A15" s="1" t="inlineStr">
        <is>
          <t>RnD</t>
        </is>
      </c>
      <c r="B15">
        <f>COUNTA(A15:A45)</f>
        <v/>
      </c>
    </row>
    <row r="16">
      <c r="A16" s="1" t="inlineStr">
        <is>
          <t>Imp Team</t>
        </is>
      </c>
    </row>
    <row r="17">
      <c r="A17" s="291" t="inlineStr">
        <is>
          <t>Management</t>
        </is>
      </c>
    </row>
    <row r="18">
      <c r="A18" s="61" t="inlineStr">
        <is>
          <t>RnD</t>
        </is>
      </c>
      <c r="C18" t="inlineStr">
        <is>
          <t>x</t>
        </is>
      </c>
    </row>
    <row r="19">
      <c r="A19" s="1" t="inlineStr">
        <is>
          <t>Process Team</t>
        </is>
      </c>
    </row>
    <row r="20">
      <c r="A20" s="1" t="inlineStr">
        <is>
          <t>Process Team</t>
        </is>
      </c>
    </row>
    <row r="21">
      <c r="A21" s="1" t="inlineStr">
        <is>
          <t>Process Team</t>
        </is>
      </c>
    </row>
    <row r="22">
      <c r="A22" s="1" t="inlineStr">
        <is>
          <t>Process Team</t>
        </is>
      </c>
    </row>
    <row r="23">
      <c r="A23" s="1" t="inlineStr">
        <is>
          <t>Process Team</t>
        </is>
      </c>
    </row>
    <row r="24">
      <c r="A24" s="1" t="inlineStr">
        <is>
          <t>Process Team</t>
        </is>
      </c>
    </row>
    <row r="25">
      <c r="A25" s="1" t="inlineStr">
        <is>
          <t>Process Team</t>
        </is>
      </c>
    </row>
    <row r="26">
      <c r="A26" s="1" t="inlineStr">
        <is>
          <t>Process Team</t>
        </is>
      </c>
    </row>
    <row r="27">
      <c r="A27" s="1" t="inlineStr">
        <is>
          <t>Process Team</t>
        </is>
      </c>
    </row>
    <row r="28">
      <c r="A28" s="1" t="inlineStr">
        <is>
          <t>Process Team</t>
        </is>
      </c>
    </row>
    <row r="29">
      <c r="A29" s="1" t="inlineStr">
        <is>
          <t>RnD</t>
        </is>
      </c>
    </row>
    <row r="30">
      <c r="A30" s="1" t="inlineStr">
        <is>
          <t>RnD</t>
        </is>
      </c>
    </row>
    <row r="31">
      <c r="A31" s="1" t="inlineStr">
        <is>
          <t>RnD</t>
        </is>
      </c>
    </row>
    <row r="32">
      <c r="A32" s="1" t="inlineStr">
        <is>
          <t>RnD</t>
        </is>
      </c>
    </row>
    <row r="33">
      <c r="A33" s="1" t="inlineStr">
        <is>
          <t>RnD</t>
        </is>
      </c>
    </row>
    <row r="34">
      <c r="A34" s="1" t="inlineStr">
        <is>
          <t>RnD</t>
        </is>
      </c>
    </row>
    <row r="35">
      <c r="A35" s="1" t="inlineStr">
        <is>
          <t>RnD</t>
        </is>
      </c>
    </row>
    <row r="36">
      <c r="A36" s="1" t="inlineStr">
        <is>
          <t>Management</t>
        </is>
      </c>
    </row>
    <row r="37">
      <c r="A37" s="1" t="inlineStr">
        <is>
          <t>Management</t>
        </is>
      </c>
    </row>
    <row r="38">
      <c r="A38" s="1" t="inlineStr">
        <is>
          <t>Management</t>
        </is>
      </c>
    </row>
    <row r="39">
      <c r="A39" s="1" t="inlineStr">
        <is>
          <t>RnD</t>
        </is>
      </c>
    </row>
    <row r="40">
      <c r="A40" s="1" t="inlineStr">
        <is>
          <t>RnD</t>
        </is>
      </c>
    </row>
    <row r="41">
      <c r="A41" s="1" t="inlineStr">
        <is>
          <t>RnD</t>
        </is>
      </c>
    </row>
    <row r="42">
      <c r="A42" s="1" t="inlineStr">
        <is>
          <t>Management</t>
        </is>
      </c>
    </row>
    <row r="43">
      <c r="A43" s="1" t="inlineStr">
        <is>
          <t>Competitive</t>
        </is>
      </c>
    </row>
    <row r="44">
      <c r="A44" s="1" t="inlineStr">
        <is>
          <t>Management</t>
        </is>
      </c>
    </row>
    <row r="45">
      <c r="A45" s="1" t="inlineStr">
        <is>
          <t>RnD</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H17"/>
  <sheetViews>
    <sheetView workbookViewId="0">
      <selection activeCell="C13" sqref="C13"/>
    </sheetView>
  </sheetViews>
  <sheetFormatPr baseColWidth="8" defaultRowHeight="14.4"/>
  <cols>
    <col width="29.44140625" customWidth="1" style="300" min="2" max="2"/>
    <col width="13.33203125" bestFit="1" customWidth="1" style="300" min="3" max="3"/>
    <col width="10.6640625" bestFit="1" customWidth="1" style="300" min="4" max="4"/>
    <col width="7.5546875" bestFit="1" customWidth="1" style="300" min="5" max="5"/>
  </cols>
  <sheetData>
    <row r="1">
      <c r="B1" s="7" t="inlineStr">
        <is>
          <t>Product</t>
        </is>
      </c>
      <c r="C1" s="7" t="inlineStr">
        <is>
          <t>Total Planned</t>
        </is>
      </c>
      <c r="D1" s="7" t="inlineStr">
        <is>
          <t>Unplanned</t>
        </is>
      </c>
      <c r="E1" s="7" t="inlineStr">
        <is>
          <t>Onhold</t>
        </is>
      </c>
    </row>
    <row r="2">
      <c r="B2" t="inlineStr">
        <is>
          <t>OC</t>
        </is>
      </c>
      <c r="D2" t="n">
        <v>31</v>
      </c>
      <c r="E2" t="n">
        <v>2</v>
      </c>
    </row>
    <row r="3">
      <c r="B3" t="inlineStr">
        <is>
          <t>FF</t>
        </is>
      </c>
      <c r="H3" t="inlineStr">
        <is>
          <t>first we didnt do it</t>
        </is>
      </c>
    </row>
    <row r="4">
      <c r="B4" t="inlineStr">
        <is>
          <t>DL</t>
        </is>
      </c>
      <c r="H4" t="inlineStr">
        <is>
          <t>now we have done</t>
        </is>
      </c>
    </row>
    <row r="5">
      <c r="B5" t="inlineStr">
        <is>
          <t>Pricing</t>
        </is>
      </c>
    </row>
    <row r="6">
      <c r="B6" t="inlineStr">
        <is>
          <t>OmniChat</t>
        </is>
      </c>
    </row>
    <row r="7">
      <c r="B7" t="inlineStr">
        <is>
          <t>Technical Support</t>
        </is>
      </c>
    </row>
    <row r="10">
      <c r="E10" t="inlineStr">
        <is>
          <t>Estimation</t>
        </is>
      </c>
      <c r="F10" t="inlineStr">
        <is>
          <t>Scheduling</t>
        </is>
      </c>
      <c r="G10" t="inlineStr">
        <is>
          <t>Scheduling</t>
        </is>
      </c>
      <c r="H10" t="inlineStr">
        <is>
          <t>Scheduling</t>
        </is>
      </c>
    </row>
    <row r="11">
      <c r="A11" t="inlineStr">
        <is>
          <t>RMI</t>
        </is>
      </c>
      <c r="B11" t="inlineStr">
        <is>
          <t>Product</t>
        </is>
      </c>
      <c r="C11" t="inlineStr">
        <is>
          <t>Status</t>
        </is>
      </c>
      <c r="D11" t="inlineStr">
        <is>
          <t>Most likely</t>
        </is>
      </c>
      <c r="E11" t="inlineStr">
        <is>
          <t>TK Approved</t>
        </is>
      </c>
      <c r="F11" t="inlineStr">
        <is>
          <t>Apr</t>
        </is>
      </c>
      <c r="G11" t="inlineStr">
        <is>
          <t xml:space="preserve">May </t>
        </is>
      </c>
      <c r="H11" t="inlineStr">
        <is>
          <t>June</t>
        </is>
      </c>
    </row>
    <row r="12">
      <c r="A12" t="inlineStr">
        <is>
          <t>a</t>
        </is>
      </c>
      <c r="C12" t="inlineStr">
        <is>
          <t>Delivered</t>
        </is>
      </c>
      <c r="F12" t="n">
        <v>250</v>
      </c>
      <c r="G12" t="n">
        <v>125</v>
      </c>
      <c r="H12" t="n">
        <v>124</v>
      </c>
    </row>
    <row r="13">
      <c r="A13" t="inlineStr">
        <is>
          <t>b</t>
        </is>
      </c>
    </row>
    <row r="14">
      <c r="A14" t="inlineStr">
        <is>
          <t>c</t>
        </is>
      </c>
    </row>
    <row r="15">
      <c r="A15" t="inlineStr">
        <is>
          <t>d</t>
        </is>
      </c>
    </row>
    <row r="16">
      <c r="A16" t="inlineStr">
        <is>
          <t>e</t>
        </is>
      </c>
    </row>
    <row r="17">
      <c r="A17" t="inlineStr">
        <is>
          <t>f</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Imran Ashraf</dc:creator>
  <dcterms:created xmlns:dcterms="http://purl.org/dc/terms/" xmlns:xsi="http://www.w3.org/2001/XMLSchema-instance" xsi:type="dcterms:W3CDTF">2026-01-21T07:53:06Z</dcterms:created>
  <dcterms:modified xmlns:dcterms="http://purl.org/dc/terms/" xmlns:xsi="http://www.w3.org/2001/XMLSchema-instance" xsi:type="dcterms:W3CDTF">2026-04-22T10:57:37Z</dcterms:modified>
  <cp:lastModifiedBy>Hassan Malik</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0x01010085CE7A919F3D4546896D9FF232927007</vt:lpwstr>
  </property>
</Properties>
</file>
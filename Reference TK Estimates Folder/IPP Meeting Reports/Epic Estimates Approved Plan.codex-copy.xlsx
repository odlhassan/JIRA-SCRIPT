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3"/>
  <workbookPr defaultThemeVersion="166925"/>
  <mc:AlternateContent xmlns:mc="http://schemas.openxmlformats.org/markup-compatibility/2006">
    <mc:Choice Requires="x15">
      <x15ac:absPath xmlns:x15ac="http://schemas.microsoft.com/office/spreadsheetml/2010/11/ac" url="C:\Users\hmalik\OneDrive - Octopus Digital\Documents\00 - Documentation via Code\IPP Meeting Reports\"/>
    </mc:Choice>
  </mc:AlternateContent>
  <xr:revisionPtr revIDLastSave="1" documentId="11_7339F435D139B80A8AF727C55C799C87F805E45E" xr6:coauthVersionLast="36" xr6:coauthVersionMax="36" xr10:uidLastSave="{94F4F2C8-80E3-41A7-8F43-E518E7B8120A}"/>
  <bookViews>
    <workbookView xWindow="-108" yWindow="-108" windowWidth="19416" windowHeight="11496" firstSheet="1" activeTab="3" xr2:uid="{00000000-000D-0000-FFFF-FFFF00000000}"/>
  </bookViews>
  <sheets>
    <sheet name="Summary" sheetId="1" r:id="rId1"/>
    <sheet name="OmniConnect RMI" sheetId="2" r:id="rId2"/>
    <sheet name="Sheet6" sheetId="3" state="hidden" r:id="rId3"/>
    <sheet name="Fintech Fuel RMI" sheetId="4" r:id="rId4"/>
    <sheet name="OmniChat RMI" sheetId="5" r:id="rId5"/>
    <sheet name="Sheet4" sheetId="6" state="hidden" r:id="rId6"/>
    <sheet name="Sheet1" sheetId="7" state="hidden" r:id="rId7"/>
    <sheet name="Digital Log RMI" sheetId="8" r:id="rId8"/>
    <sheet name="Support" sheetId="9" r:id="rId9"/>
    <sheet name="Technical Support Raw Data" sheetId="10" r:id="rId10"/>
    <sheet name="Settings" sheetId="11" r:id="rId11"/>
    <sheet name="Misc" sheetId="12" state="hidden" r:id="rId12"/>
    <sheet name="Sheet3" sheetId="13" state="hidden" r:id="rId13"/>
    <sheet name="Sheet2" sheetId="14" r:id="rId14"/>
    <sheet name="Sheet5" sheetId="15" r:id="rId15"/>
  </sheets>
  <definedNames>
    <definedName name="_xlnm._FilterDatabase" localSheetId="3" hidden="1">'Fintech Fuel RMI'!$A$2:$AQ$56</definedName>
  </definedNames>
  <calcPr calcId="191029" forceFullCalc="1"/>
</workbook>
</file>

<file path=xl/calcChain.xml><?xml version="1.0" encoding="utf-8"?>
<calcChain xmlns="http://schemas.openxmlformats.org/spreadsheetml/2006/main">
  <c r="B15" i="14" l="1"/>
  <c r="D9" i="11"/>
  <c r="E7" i="11" s="1"/>
  <c r="F8" i="11"/>
  <c r="C8" i="11"/>
  <c r="F7" i="11"/>
  <c r="C7" i="11"/>
  <c r="F6" i="11"/>
  <c r="C6" i="11"/>
  <c r="F5" i="11"/>
  <c r="C5" i="11"/>
  <c r="F4" i="11"/>
  <c r="C4" i="11"/>
  <c r="F3" i="11"/>
  <c r="C3" i="11"/>
  <c r="F12" i="10"/>
  <c r="E12" i="10"/>
  <c r="E11" i="10"/>
  <c r="D11" i="10"/>
  <c r="F11" i="10" s="1"/>
  <c r="B3" i="9" s="1"/>
  <c r="E10" i="10"/>
  <c r="D10" i="10"/>
  <c r="C10" i="10"/>
  <c r="F4" i="10"/>
  <c r="F3" i="10"/>
  <c r="F2" i="10"/>
  <c r="L9" i="9"/>
  <c r="J10" i="9" s="1"/>
  <c r="J12" i="9" s="1"/>
  <c r="J13" i="9" s="1"/>
  <c r="J14" i="9" s="1"/>
  <c r="N14" i="9" s="1"/>
  <c r="B4" i="9"/>
  <c r="AO35" i="8"/>
  <c r="AN35" i="8"/>
  <c r="AM35" i="8"/>
  <c r="AL35" i="8"/>
  <c r="AK35" i="8"/>
  <c r="AJ35" i="8"/>
  <c r="AI35" i="8"/>
  <c r="AH35" i="8"/>
  <c r="AG35" i="8"/>
  <c r="AO34" i="8"/>
  <c r="AN34" i="8"/>
  <c r="AM34" i="8"/>
  <c r="AL34" i="8"/>
  <c r="AK34" i="8"/>
  <c r="AJ34" i="8"/>
  <c r="AI34" i="8"/>
  <c r="AH34" i="8"/>
  <c r="AG34" i="8"/>
  <c r="V32" i="8"/>
  <c r="V31" i="8"/>
  <c r="V30" i="8"/>
  <c r="V29" i="8"/>
  <c r="V28" i="8"/>
  <c r="V27" i="8"/>
  <c r="V26" i="8"/>
  <c r="V25" i="8"/>
  <c r="V24" i="8"/>
  <c r="V23" i="8"/>
  <c r="V22" i="8"/>
  <c r="V21" i="8"/>
  <c r="V20" i="8"/>
  <c r="V19" i="8"/>
  <c r="V18" i="8"/>
  <c r="V17" i="8"/>
  <c r="V16" i="8"/>
  <c r="V15" i="8"/>
  <c r="V14" i="8"/>
  <c r="V13" i="8"/>
  <c r="V12" i="8"/>
  <c r="V11" i="8"/>
  <c r="V10" i="8"/>
  <c r="V9" i="8"/>
  <c r="V8" i="8"/>
  <c r="V7" i="8"/>
  <c r="V6" i="8"/>
  <c r="V5" i="8"/>
  <c r="V4" i="8"/>
  <c r="V3" i="8"/>
  <c r="V17" i="5"/>
  <c r="X17" i="5" s="1"/>
  <c r="V16" i="5"/>
  <c r="X16" i="5" s="1"/>
  <c r="V15" i="5"/>
  <c r="X15" i="5" s="1"/>
  <c r="V14" i="5"/>
  <c r="X14" i="5" s="1"/>
  <c r="V13" i="5"/>
  <c r="X13" i="5" s="1"/>
  <c r="V12" i="5"/>
  <c r="X12" i="5" s="1"/>
  <c r="V11" i="5"/>
  <c r="V10" i="5"/>
  <c r="X10" i="5" s="1"/>
  <c r="AO9" i="5"/>
  <c r="AN9" i="5"/>
  <c r="AM9" i="5"/>
  <c r="AL9" i="5"/>
  <c r="AK9" i="5"/>
  <c r="AJ9" i="5"/>
  <c r="AI9" i="5"/>
  <c r="AG9" i="5"/>
  <c r="AF9" i="5"/>
  <c r="AE9" i="5"/>
  <c r="V9" i="5"/>
  <c r="W9" i="5" s="1"/>
  <c r="V8" i="5"/>
  <c r="W8" i="5" s="1"/>
  <c r="V7" i="5"/>
  <c r="W7" i="5" s="1"/>
  <c r="V6" i="5"/>
  <c r="W6" i="5" s="1"/>
  <c r="V5" i="5"/>
  <c r="W5" i="5" s="1"/>
  <c r="P4" i="5"/>
  <c r="V4" i="5" s="1"/>
  <c r="W4" i="5" s="1"/>
  <c r="AO3" i="5"/>
  <c r="AN3" i="5"/>
  <c r="AM3" i="5"/>
  <c r="AL3" i="5"/>
  <c r="AK3" i="5"/>
  <c r="AJ3" i="5"/>
  <c r="AI3" i="5"/>
  <c r="AH3" i="5"/>
  <c r="AG3" i="5"/>
  <c r="AF3" i="5"/>
  <c r="AE3" i="5"/>
  <c r="V3" i="5"/>
  <c r="X3" i="5" s="1"/>
  <c r="AO60" i="4"/>
  <c r="AN60" i="4"/>
  <c r="AM60" i="4"/>
  <c r="AL60" i="4"/>
  <c r="AK60" i="4"/>
  <c r="AJ60" i="4"/>
  <c r="AI60" i="4"/>
  <c r="AH60" i="4"/>
  <c r="AG60" i="4"/>
  <c r="AO59" i="4"/>
  <c r="AN59" i="4"/>
  <c r="AM59" i="4"/>
  <c r="AL59" i="4"/>
  <c r="AK59" i="4"/>
  <c r="AJ59" i="4"/>
  <c r="AI59" i="4"/>
  <c r="AH59" i="4"/>
  <c r="AG59" i="4"/>
  <c r="AO58" i="4"/>
  <c r="AN58" i="4"/>
  <c r="AM58" i="4"/>
  <c r="AL58" i="4"/>
  <c r="AK58" i="4"/>
  <c r="AJ58" i="4"/>
  <c r="AI58" i="4"/>
  <c r="AH58" i="4"/>
  <c r="AG58" i="4"/>
  <c r="AO57" i="4"/>
  <c r="AN57" i="4"/>
  <c r="AM57" i="4"/>
  <c r="AL57" i="4"/>
  <c r="AK57" i="4"/>
  <c r="AJ57" i="4"/>
  <c r="AI57" i="4"/>
  <c r="AH57" i="4"/>
  <c r="AG57" i="4"/>
  <c r="V55" i="4"/>
  <c r="X55" i="4" s="1"/>
  <c r="X54" i="4"/>
  <c r="V54" i="4"/>
  <c r="V53" i="4"/>
  <c r="X53" i="4" s="1"/>
  <c r="V52" i="4"/>
  <c r="V51" i="4"/>
  <c r="X51" i="4" s="1"/>
  <c r="V50" i="4"/>
  <c r="X50" i="4" s="1"/>
  <c r="V49" i="4"/>
  <c r="X49" i="4" s="1"/>
  <c r="V48" i="4"/>
  <c r="V47" i="4"/>
  <c r="X47" i="4" s="1"/>
  <c r="V46" i="4"/>
  <c r="X46" i="4" s="1"/>
  <c r="V45" i="4"/>
  <c r="V44" i="4"/>
  <c r="X43" i="4"/>
  <c r="V43" i="4"/>
  <c r="V42" i="4"/>
  <c r="X42" i="4" s="1"/>
  <c r="V41" i="4"/>
  <c r="X41" i="4" s="1"/>
  <c r="V40" i="4"/>
  <c r="V39" i="4"/>
  <c r="X39" i="4" s="1"/>
  <c r="V38" i="4"/>
  <c r="X38" i="4" s="1"/>
  <c r="X37" i="4"/>
  <c r="V37" i="4"/>
  <c r="V36" i="4"/>
  <c r="X36" i="4" s="1"/>
  <c r="V35" i="4"/>
  <c r="X35" i="4" s="1"/>
  <c r="P34" i="4"/>
  <c r="O34" i="4"/>
  <c r="V34" i="4" s="1"/>
  <c r="V33" i="4"/>
  <c r="X33" i="4" s="1"/>
  <c r="X32" i="4"/>
  <c r="V32" i="4"/>
  <c r="P31" i="4"/>
  <c r="O31" i="4"/>
  <c r="V30" i="4"/>
  <c r="X30" i="4" s="1"/>
  <c r="V29" i="4"/>
  <c r="P28" i="4"/>
  <c r="V28" i="4" s="1"/>
  <c r="X28" i="4" s="1"/>
  <c r="P27" i="4"/>
  <c r="V27" i="4" s="1"/>
  <c r="V26" i="4"/>
  <c r="X26" i="4" s="1"/>
  <c r="V25" i="4"/>
  <c r="X25" i="4" s="1"/>
  <c r="V24" i="4"/>
  <c r="X24" i="4" s="1"/>
  <c r="V23" i="4"/>
  <c r="V22" i="4"/>
  <c r="X22" i="4" s="1"/>
  <c r="V21" i="4"/>
  <c r="X21" i="4" s="1"/>
  <c r="X20" i="4"/>
  <c r="V20" i="4"/>
  <c r="V19" i="4"/>
  <c r="X19" i="4" s="1"/>
  <c r="V18" i="4"/>
  <c r="X18" i="4" s="1"/>
  <c r="V17" i="4"/>
  <c r="X17" i="4" s="1"/>
  <c r="V16" i="4"/>
  <c r="X16" i="4" s="1"/>
  <c r="V15" i="4"/>
  <c r="V14" i="4"/>
  <c r="X14" i="4" s="1"/>
  <c r="V13" i="4"/>
  <c r="X13" i="4" s="1"/>
  <c r="V12" i="4"/>
  <c r="X12" i="4" s="1"/>
  <c r="V11" i="4"/>
  <c r="X11" i="4" s="1"/>
  <c r="V10" i="4"/>
  <c r="V9" i="4"/>
  <c r="X9" i="4" s="1"/>
  <c r="V8" i="4"/>
  <c r="X8" i="4" s="1"/>
  <c r="V7" i="4"/>
  <c r="X7" i="4" s="1"/>
  <c r="V6" i="4"/>
  <c r="X6" i="4" s="1"/>
  <c r="V5" i="4"/>
  <c r="X5" i="4" s="1"/>
  <c r="V4" i="4"/>
  <c r="X4" i="4" s="1"/>
  <c r="A4" i="4"/>
  <c r="A6" i="4" s="1"/>
  <c r="A7" i="4" s="1"/>
  <c r="A8" i="4" s="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A42" i="4" s="1"/>
  <c r="A43" i="4" s="1"/>
  <c r="A44" i="4" s="1"/>
  <c r="A45" i="4" s="1"/>
  <c r="A46" i="4" s="1"/>
  <c r="A47" i="4" s="1"/>
  <c r="A48" i="4" s="1"/>
  <c r="A49" i="4" s="1"/>
  <c r="A50" i="4" s="1"/>
  <c r="A51" i="4" s="1"/>
  <c r="A52" i="4" s="1"/>
  <c r="A53" i="4" s="1"/>
  <c r="A54" i="4" s="1"/>
  <c r="A55" i="4" s="1"/>
  <c r="V3" i="4"/>
  <c r="C4" i="3"/>
  <c r="D4" i="3" s="1"/>
  <c r="C3" i="3"/>
  <c r="D3" i="3" s="1"/>
  <c r="D2" i="3"/>
  <c r="V52" i="2"/>
  <c r="V51" i="2"/>
  <c r="V50" i="2"/>
  <c r="V49" i="2"/>
  <c r="V48" i="2"/>
  <c r="V47" i="2"/>
  <c r="V46" i="2"/>
  <c r="U45" i="2"/>
  <c r="V45" i="2" s="1"/>
  <c r="V44" i="2"/>
  <c r="V43" i="2"/>
  <c r="V42" i="2"/>
  <c r="V41" i="2"/>
  <c r="V40" i="2"/>
  <c r="V38" i="2"/>
  <c r="V37" i="2"/>
  <c r="V36" i="2"/>
  <c r="P36" i="2"/>
  <c r="P35" i="2"/>
  <c r="V35" i="2" s="1"/>
  <c r="P34" i="2"/>
  <c r="V34" i="2" s="1"/>
  <c r="P33" i="2"/>
  <c r="V33" i="2" s="1"/>
  <c r="P32" i="2"/>
  <c r="V32" i="2" s="1"/>
  <c r="V31" i="2"/>
  <c r="P31" i="2"/>
  <c r="V30" i="2"/>
  <c r="U28" i="2"/>
  <c r="V28" i="2" s="1"/>
  <c r="V27" i="2"/>
  <c r="V26" i="2"/>
  <c r="V25" i="2"/>
  <c r="V24" i="2"/>
  <c r="V23" i="2"/>
  <c r="V22" i="2"/>
  <c r="V21" i="2"/>
  <c r="V20" i="2"/>
  <c r="V19" i="2"/>
  <c r="V18" i="2"/>
  <c r="V17" i="2"/>
  <c r="V16" i="2"/>
  <c r="V15" i="2"/>
  <c r="V14" i="2"/>
  <c r="V13" i="2"/>
  <c r="V12" i="2"/>
  <c r="R11" i="2"/>
  <c r="V11" i="2" s="1"/>
  <c r="AB10" i="2"/>
  <c r="AA10" i="2"/>
  <c r="U9" i="2"/>
  <c r="P9" i="2"/>
  <c r="U8" i="2"/>
  <c r="V8" i="2" s="1"/>
  <c r="P8" i="2"/>
  <c r="U7" i="2"/>
  <c r="P7" i="2"/>
  <c r="V7" i="2" s="1"/>
  <c r="V6" i="2"/>
  <c r="V5" i="2"/>
  <c r="V4" i="2"/>
  <c r="AD3" i="2"/>
  <c r="V3" i="2"/>
  <c r="H13" i="1"/>
  <c r="B12" i="1"/>
  <c r="B11" i="1"/>
  <c r="B10" i="1"/>
  <c r="B9" i="1"/>
  <c r="F7" i="1"/>
  <c r="F8" i="1" s="1"/>
  <c r="E7" i="1"/>
  <c r="W2" i="2" s="1"/>
  <c r="F5" i="10" l="1"/>
  <c r="V9" i="2"/>
  <c r="C9" i="11"/>
  <c r="V31" i="4"/>
  <c r="X7" i="5"/>
  <c r="Y7" i="5" s="1"/>
  <c r="Z7" i="5" s="1"/>
  <c r="X6" i="5"/>
  <c r="Y6" i="5" s="1"/>
  <c r="Z6" i="5" s="1"/>
  <c r="V33" i="8"/>
  <c r="F9" i="11"/>
  <c r="D5" i="3"/>
  <c r="D6" i="3" s="1"/>
  <c r="E4" i="11"/>
  <c r="X4" i="5"/>
  <c r="X8" i="5"/>
  <c r="E3" i="11"/>
  <c r="D12" i="1"/>
  <c r="Y5" i="5"/>
  <c r="Z5" i="5" s="1"/>
  <c r="AI5" i="5" s="1"/>
  <c r="E8" i="11"/>
  <c r="F10" i="10"/>
  <c r="F13" i="10" s="1"/>
  <c r="X5" i="5"/>
  <c r="X9" i="5"/>
  <c r="E5" i="11"/>
  <c r="W5" i="2"/>
  <c r="W21" i="2"/>
  <c r="W7" i="2"/>
  <c r="X26" i="2"/>
  <c r="W50" i="2"/>
  <c r="W42" i="2"/>
  <c r="X42" i="2" s="1"/>
  <c r="W47" i="2"/>
  <c r="X47" i="2" s="1"/>
  <c r="W40" i="2"/>
  <c r="W29" i="2"/>
  <c r="W39" i="2"/>
  <c r="W13" i="2"/>
  <c r="W51" i="2"/>
  <c r="W25" i="2"/>
  <c r="W26" i="2"/>
  <c r="W18" i="2"/>
  <c r="X18" i="2" s="1"/>
  <c r="W3" i="2"/>
  <c r="W6" i="2"/>
  <c r="W27" i="2"/>
  <c r="X27" i="2" s="1"/>
  <c r="W17" i="2"/>
  <c r="W22" i="2"/>
  <c r="W14" i="2"/>
  <c r="W44" i="2"/>
  <c r="W10" i="2"/>
  <c r="W9" i="2"/>
  <c r="W15" i="2"/>
  <c r="X15" i="2" s="1"/>
  <c r="W23" i="2"/>
  <c r="W24" i="2"/>
  <c r="X24" i="2" s="1"/>
  <c r="W28" i="2"/>
  <c r="W36" i="2"/>
  <c r="W16" i="2"/>
  <c r="X16" i="2" s="1"/>
  <c r="W2" i="8"/>
  <c r="W2" i="5"/>
  <c r="W52" i="2"/>
  <c r="X52" i="2" s="1"/>
  <c r="W2" i="4"/>
  <c r="W18" i="4" s="1"/>
  <c r="Y18" i="4" s="1"/>
  <c r="Z18" i="4" s="1"/>
  <c r="X11" i="5"/>
  <c r="W11" i="5"/>
  <c r="Y11" i="5" s="1"/>
  <c r="Z11" i="5" s="1"/>
  <c r="E8" i="1"/>
  <c r="V53" i="2"/>
  <c r="D9" i="1" s="1"/>
  <c r="W32" i="2"/>
  <c r="X32" i="2" s="1"/>
  <c r="W45" i="2"/>
  <c r="X40" i="2"/>
  <c r="X27" i="4"/>
  <c r="W11" i="2"/>
  <c r="X11" i="2" s="1"/>
  <c r="W19" i="2"/>
  <c r="X19" i="2" s="1"/>
  <c r="W35" i="2"/>
  <c r="X35" i="2" s="1"/>
  <c r="W43" i="2"/>
  <c r="W12" i="2"/>
  <c r="X12" i="2" s="1"/>
  <c r="W20" i="2"/>
  <c r="X20" i="2" s="1"/>
  <c r="W33" i="2"/>
  <c r="W4" i="2"/>
  <c r="W8" i="2"/>
  <c r="X8" i="2" s="1"/>
  <c r="W31" i="2"/>
  <c r="W49" i="2"/>
  <c r="V56" i="4"/>
  <c r="D10" i="1" s="1"/>
  <c r="X10" i="4"/>
  <c r="W37" i="2"/>
  <c r="X31" i="4"/>
  <c r="X40" i="4"/>
  <c r="W38" i="2"/>
  <c r="X38" i="2" s="1"/>
  <c r="W46" i="2"/>
  <c r="X3" i="4"/>
  <c r="X15" i="4"/>
  <c r="W15" i="4"/>
  <c r="Y15" i="4" s="1"/>
  <c r="Z15" i="4" s="1"/>
  <c r="X29" i="4"/>
  <c r="X23" i="4"/>
  <c r="W30" i="2"/>
  <c r="W34" i="2"/>
  <c r="W41" i="2"/>
  <c r="X41" i="2" s="1"/>
  <c r="W48" i="2"/>
  <c r="X48" i="2" s="1"/>
  <c r="X34" i="4"/>
  <c r="X44" i="4"/>
  <c r="W19" i="4"/>
  <c r="Y19" i="4" s="1"/>
  <c r="Z19" i="4" s="1"/>
  <c r="X45" i="4"/>
  <c r="P14" i="9"/>
  <c r="O14" i="9"/>
  <c r="J15" i="9"/>
  <c r="X48" i="4"/>
  <c r="Y4" i="5"/>
  <c r="Z4" i="5" s="1"/>
  <c r="AH9" i="5"/>
  <c r="W3" i="5"/>
  <c r="Y3" i="5" s="1"/>
  <c r="X52" i="4"/>
  <c r="AO5" i="5"/>
  <c r="AG5" i="5"/>
  <c r="AN5" i="5"/>
  <c r="AF5" i="5"/>
  <c r="AM5" i="5"/>
  <c r="AE5" i="5"/>
  <c r="AL5" i="5"/>
  <c r="Y8" i="5"/>
  <c r="Z8" i="5" s="1"/>
  <c r="V18" i="5"/>
  <c r="D11" i="1" s="1"/>
  <c r="W12" i="5"/>
  <c r="Y12" i="5" s="1"/>
  <c r="Z12" i="5" s="1"/>
  <c r="W13" i="5"/>
  <c r="Y13" i="5" s="1"/>
  <c r="Z13" i="5" s="1"/>
  <c r="W14" i="5"/>
  <c r="Y14" i="5" s="1"/>
  <c r="Z14" i="5" s="1"/>
  <c r="W15" i="5"/>
  <c r="Y15" i="5" s="1"/>
  <c r="Z15" i="5" s="1"/>
  <c r="W16" i="5"/>
  <c r="Y16" i="5" s="1"/>
  <c r="Z16" i="5" s="1"/>
  <c r="W17" i="5"/>
  <c r="Y17" i="5" s="1"/>
  <c r="Z17" i="5" s="1"/>
  <c r="W10" i="5"/>
  <c r="Y10" i="5" s="1"/>
  <c r="Z10" i="5" s="1"/>
  <c r="G9" i="11"/>
  <c r="C4" i="9"/>
  <c r="D4" i="9" s="1"/>
  <c r="E6" i="11"/>
  <c r="C3" i="9"/>
  <c r="W24" i="4" l="1"/>
  <c r="Y24" i="4" s="1"/>
  <c r="Z24" i="4" s="1"/>
  <c r="AK5" i="5"/>
  <c r="AM6" i="5"/>
  <c r="AE6" i="5"/>
  <c r="AL6" i="5"/>
  <c r="AO6" i="5"/>
  <c r="AI6" i="5"/>
  <c r="AK6" i="5"/>
  <c r="AG6" i="5"/>
  <c r="AN6" i="5"/>
  <c r="AF6" i="5"/>
  <c r="AG7" i="5"/>
  <c r="AI7" i="5"/>
  <c r="AN7" i="5"/>
  <c r="AF7" i="5"/>
  <c r="AM7" i="5"/>
  <c r="AE7" i="5"/>
  <c r="AL7" i="5"/>
  <c r="AK7" i="5"/>
  <c r="AO7" i="5"/>
  <c r="AH5" i="5"/>
  <c r="W35" i="4"/>
  <c r="Y35" i="4" s="1"/>
  <c r="Z35" i="4" s="1"/>
  <c r="AJ35" i="4" s="1"/>
  <c r="Q14" i="9"/>
  <c r="R14" i="9" s="1"/>
  <c r="W44" i="4"/>
  <c r="Y44" i="4" s="1"/>
  <c r="Z44" i="4" s="1"/>
  <c r="AO44" i="4" s="1"/>
  <c r="W23" i="4"/>
  <c r="Y23" i="4" s="1"/>
  <c r="Z23" i="4" s="1"/>
  <c r="AI23" i="4" s="1"/>
  <c r="W7" i="4"/>
  <c r="Y7" i="4" s="1"/>
  <c r="Z7" i="4" s="1"/>
  <c r="AO7" i="4" s="1"/>
  <c r="W40" i="4"/>
  <c r="Y40" i="4" s="1"/>
  <c r="Z40" i="4" s="1"/>
  <c r="W5" i="4"/>
  <c r="Y5" i="4" s="1"/>
  <c r="Z5" i="4" s="1"/>
  <c r="W31" i="4"/>
  <c r="Y31" i="4" s="1"/>
  <c r="Z31" i="4" s="1"/>
  <c r="W52" i="4"/>
  <c r="Y52" i="4" s="1"/>
  <c r="Z52" i="4" s="1"/>
  <c r="AM52" i="4" s="1"/>
  <c r="W49" i="4"/>
  <c r="Y49" i="4" s="1"/>
  <c r="Z49" i="4" s="1"/>
  <c r="W42" i="4"/>
  <c r="Y42" i="4" s="1"/>
  <c r="Z42" i="4" s="1"/>
  <c r="AI42" i="4" s="1"/>
  <c r="W17" i="4"/>
  <c r="Y17" i="4" s="1"/>
  <c r="Z17" i="4" s="1"/>
  <c r="AL17" i="4" s="1"/>
  <c r="W34" i="4"/>
  <c r="Y34" i="4" s="1"/>
  <c r="Z34" i="4" s="1"/>
  <c r="AK34" i="4" s="1"/>
  <c r="W12" i="4"/>
  <c r="Y12" i="4" s="1"/>
  <c r="Z12" i="4" s="1"/>
  <c r="W4" i="4"/>
  <c r="Y4" i="4" s="1"/>
  <c r="Z4" i="4" s="1"/>
  <c r="W54" i="4"/>
  <c r="Y54" i="4" s="1"/>
  <c r="Z54" i="4" s="1"/>
  <c r="AG54" i="4" s="1"/>
  <c r="W27" i="4"/>
  <c r="W25" i="4"/>
  <c r="Y25" i="4" s="1"/>
  <c r="Z25" i="4" s="1"/>
  <c r="W38" i="4"/>
  <c r="Y38" i="4" s="1"/>
  <c r="Z38" i="4" s="1"/>
  <c r="B2" i="9"/>
  <c r="W26" i="4"/>
  <c r="Y26" i="4" s="1"/>
  <c r="Z26" i="4" s="1"/>
  <c r="AI26" i="4" s="1"/>
  <c r="W48" i="4"/>
  <c r="W45" i="4"/>
  <c r="Y45" i="4" s="1"/>
  <c r="Z45" i="4" s="1"/>
  <c r="W29" i="4"/>
  <c r="Y29" i="4" s="1"/>
  <c r="Z29" i="4" s="1"/>
  <c r="W10" i="4"/>
  <c r="Y10" i="4" s="1"/>
  <c r="Z10" i="4" s="1"/>
  <c r="AL10" i="4" s="1"/>
  <c r="W32" i="4"/>
  <c r="Y32" i="4" s="1"/>
  <c r="Z32" i="4" s="1"/>
  <c r="AF32" i="4" s="1"/>
  <c r="W53" i="4"/>
  <c r="Y53" i="4" s="1"/>
  <c r="Z53" i="4" s="1"/>
  <c r="W36" i="4"/>
  <c r="Y36" i="4" s="1"/>
  <c r="Z36" i="4" s="1"/>
  <c r="AI36" i="4" s="1"/>
  <c r="W50" i="4"/>
  <c r="Y50" i="4" s="1"/>
  <c r="Z50" i="4" s="1"/>
  <c r="AN50" i="4" s="1"/>
  <c r="D14" i="1"/>
  <c r="AL54" i="4"/>
  <c r="AK54" i="4"/>
  <c r="AO54" i="4"/>
  <c r="X25" i="2"/>
  <c r="Y25" i="2" s="1"/>
  <c r="Z25" i="2" s="1"/>
  <c r="AG32" i="4"/>
  <c r="AN32" i="4"/>
  <c r="AE32" i="4"/>
  <c r="AL32" i="4"/>
  <c r="AN40" i="4"/>
  <c r="AF40" i="4"/>
  <c r="AG40" i="4"/>
  <c r="AO40" i="4"/>
  <c r="AE40" i="4"/>
  <c r="AM40" i="4"/>
  <c r="AL40" i="4"/>
  <c r="AK40" i="4"/>
  <c r="AI40" i="4"/>
  <c r="X49" i="2"/>
  <c r="Y49" i="2" s="1"/>
  <c r="Z49" i="2" s="1"/>
  <c r="X22" i="2"/>
  <c r="Y22" i="2" s="1"/>
  <c r="Z22" i="2" s="1"/>
  <c r="X51" i="2"/>
  <c r="Y51" i="2" s="1"/>
  <c r="Z51" i="2" s="1"/>
  <c r="X50" i="2"/>
  <c r="Y50" i="2" s="1"/>
  <c r="Z50" i="2" s="1"/>
  <c r="AO16" i="5"/>
  <c r="AG16" i="5"/>
  <c r="AN16" i="5"/>
  <c r="AF16" i="5"/>
  <c r="AM16" i="5"/>
  <c r="AE16" i="5"/>
  <c r="AK16" i="5"/>
  <c r="AJ16" i="5"/>
  <c r="AI16" i="5"/>
  <c r="AL16" i="5"/>
  <c r="AI8" i="5"/>
  <c r="AO8" i="5"/>
  <c r="AG8" i="5"/>
  <c r="AN8" i="5"/>
  <c r="AF8" i="5"/>
  <c r="AM8" i="5"/>
  <c r="AE8" i="5"/>
  <c r="AL8" i="5"/>
  <c r="AK8" i="5"/>
  <c r="AK36" i="4"/>
  <c r="AE36" i="4"/>
  <c r="AL36" i="4"/>
  <c r="AE17" i="4"/>
  <c r="AN17" i="4"/>
  <c r="AK44" i="4"/>
  <c r="AM44" i="4"/>
  <c r="AL44" i="4"/>
  <c r="AI44" i="4"/>
  <c r="AL23" i="4"/>
  <c r="AK23" i="4"/>
  <c r="AE7" i="4"/>
  <c r="X33" i="2"/>
  <c r="Y33" i="2" s="1"/>
  <c r="Z33" i="2" s="1"/>
  <c r="Y27" i="4"/>
  <c r="Z27" i="4" s="1"/>
  <c r="W32" i="8"/>
  <c r="W24" i="8"/>
  <c r="W16" i="8"/>
  <c r="W8" i="8"/>
  <c r="W31" i="8"/>
  <c r="W23" i="8"/>
  <c r="W15" i="8"/>
  <c r="W7" i="8"/>
  <c r="W30" i="8"/>
  <c r="W22" i="8"/>
  <c r="W14" i="8"/>
  <c r="W6" i="8"/>
  <c r="W29" i="8"/>
  <c r="W21" i="8"/>
  <c r="W13" i="8"/>
  <c r="W5" i="8"/>
  <c r="W28" i="8"/>
  <c r="W20" i="8"/>
  <c r="W12" i="8"/>
  <c r="W4" i="8"/>
  <c r="W27" i="8"/>
  <c r="W19" i="8"/>
  <c r="W11" i="8"/>
  <c r="W3" i="8"/>
  <c r="W26" i="8"/>
  <c r="W18" i="8"/>
  <c r="W10" i="8"/>
  <c r="W25" i="8"/>
  <c r="W17" i="8"/>
  <c r="W9" i="8"/>
  <c r="X36" i="2"/>
  <c r="Y36" i="2" s="1"/>
  <c r="Z36" i="2" s="1"/>
  <c r="X17" i="2"/>
  <c r="Y17" i="2" s="1"/>
  <c r="Z17" i="2" s="1"/>
  <c r="Y18" i="5"/>
  <c r="G11" i="1" s="1"/>
  <c r="H11" i="1" s="1"/>
  <c r="AN15" i="4"/>
  <c r="AF15" i="4"/>
  <c r="AM15" i="4"/>
  <c r="AE15" i="4"/>
  <c r="AL15" i="4"/>
  <c r="AK15" i="4"/>
  <c r="AI15" i="4"/>
  <c r="AJ15" i="4" s="1"/>
  <c r="AO15" i="4"/>
  <c r="AG15" i="4"/>
  <c r="AM42" i="4"/>
  <c r="AE42" i="4"/>
  <c r="AL42" i="4"/>
  <c r="AO42" i="4"/>
  <c r="AN42" i="4"/>
  <c r="AK42" i="4"/>
  <c r="AG42" i="4"/>
  <c r="AO14" i="5"/>
  <c r="AG14" i="5"/>
  <c r="AN14" i="5"/>
  <c r="AF14" i="5"/>
  <c r="AM14" i="5"/>
  <c r="AE14" i="5"/>
  <c r="AK14" i="5"/>
  <c r="AJ14" i="5"/>
  <c r="AI14" i="5"/>
  <c r="AL14" i="5"/>
  <c r="AK26" i="4"/>
  <c r="AE26" i="4"/>
  <c r="AM5" i="4"/>
  <c r="AE5" i="4"/>
  <c r="AL5" i="4"/>
  <c r="AK5" i="4"/>
  <c r="AI5" i="4"/>
  <c r="AO5" i="4"/>
  <c r="AG5" i="4"/>
  <c r="AN5" i="4"/>
  <c r="AF5" i="4"/>
  <c r="AI31" i="4"/>
  <c r="AO31" i="4"/>
  <c r="AG31" i="4"/>
  <c r="AN31" i="4"/>
  <c r="AF31" i="4"/>
  <c r="AM31" i="4"/>
  <c r="AE31" i="4"/>
  <c r="AL31" i="4"/>
  <c r="AK31" i="4"/>
  <c r="Y20" i="2"/>
  <c r="Z20" i="2" s="1"/>
  <c r="Y27" i="2"/>
  <c r="Z27" i="2" s="1"/>
  <c r="X13" i="2"/>
  <c r="Y13" i="2" s="1"/>
  <c r="Z13" i="2" s="1"/>
  <c r="AL25" i="4"/>
  <c r="AK25" i="4"/>
  <c r="AI25" i="4"/>
  <c r="AO25" i="4"/>
  <c r="AG25" i="4"/>
  <c r="AE25" i="4"/>
  <c r="AN25" i="4"/>
  <c r="AM25" i="4"/>
  <c r="AF25" i="4"/>
  <c r="AO13" i="5"/>
  <c r="AG13" i="5"/>
  <c r="AN13" i="5"/>
  <c r="AF13" i="5"/>
  <c r="AM13" i="5"/>
  <c r="AE13" i="5"/>
  <c r="AK13" i="5"/>
  <c r="AJ13" i="5"/>
  <c r="AI13" i="5"/>
  <c r="AL13" i="5"/>
  <c r="AK18" i="4"/>
  <c r="AI18" i="4"/>
  <c r="AO18" i="4"/>
  <c r="AG18" i="4"/>
  <c r="AN18" i="4"/>
  <c r="AF18" i="4"/>
  <c r="AM18" i="4"/>
  <c r="AL18" i="4"/>
  <c r="AE18" i="4"/>
  <c r="AI4" i="5"/>
  <c r="AO4" i="5"/>
  <c r="AG4" i="5"/>
  <c r="Z18" i="5"/>
  <c r="AN4" i="5"/>
  <c r="AF4" i="5"/>
  <c r="AM4" i="5"/>
  <c r="AE4" i="5"/>
  <c r="AL4" i="5"/>
  <c r="AK4" i="5"/>
  <c r="AL34" i="4"/>
  <c r="AI12" i="4"/>
  <c r="AO12" i="4"/>
  <c r="AG12" i="4"/>
  <c r="AN12" i="4"/>
  <c r="AF12" i="4"/>
  <c r="AM12" i="4"/>
  <c r="AE12" i="4"/>
  <c r="AL12" i="4"/>
  <c r="AK12" i="4"/>
  <c r="AM4" i="4"/>
  <c r="AE4" i="4"/>
  <c r="AL4" i="4"/>
  <c r="AK4" i="4"/>
  <c r="AI4" i="4"/>
  <c r="AO4" i="4"/>
  <c r="AG4" i="4"/>
  <c r="AN4" i="4"/>
  <c r="AF4" i="4"/>
  <c r="X31" i="2"/>
  <c r="Y31" i="2" s="1"/>
  <c r="Z31" i="2" s="1"/>
  <c r="Y12" i="2"/>
  <c r="Z12" i="2" s="1"/>
  <c r="AO11" i="5"/>
  <c r="AN11" i="5"/>
  <c r="AF11" i="5"/>
  <c r="AM11" i="5"/>
  <c r="AE11" i="5"/>
  <c r="AK11" i="5"/>
  <c r="AI11" i="5"/>
  <c r="AG11" i="5"/>
  <c r="AL11" i="5"/>
  <c r="X34" i="2"/>
  <c r="Y34" i="2" s="1"/>
  <c r="Z34" i="2" s="1"/>
  <c r="X28" i="2"/>
  <c r="Y28" i="2" s="1"/>
  <c r="Z28" i="2" s="1"/>
  <c r="X6" i="2"/>
  <c r="Y6" i="2" s="1"/>
  <c r="Z6" i="2" s="1"/>
  <c r="X39" i="2"/>
  <c r="Y39" i="2" s="1"/>
  <c r="Z39" i="2" s="1"/>
  <c r="X9" i="2"/>
  <c r="Y9" i="2" s="1"/>
  <c r="Z9" i="2" s="1"/>
  <c r="AJ19" i="4"/>
  <c r="AI19" i="4"/>
  <c r="AO19" i="4"/>
  <c r="AG19" i="4"/>
  <c r="AN19" i="4"/>
  <c r="AF19" i="4"/>
  <c r="AM19" i="4"/>
  <c r="AE19" i="4"/>
  <c r="AL19" i="4"/>
  <c r="AK19" i="4"/>
  <c r="X14" i="2"/>
  <c r="Y14" i="2" s="1"/>
  <c r="Z14" i="2" s="1"/>
  <c r="C2" i="9"/>
  <c r="AI49" i="4"/>
  <c r="AN49" i="4"/>
  <c r="AF49" i="4"/>
  <c r="AM49" i="4"/>
  <c r="AE49" i="4"/>
  <c r="AL49" i="4"/>
  <c r="AK49" i="4"/>
  <c r="AG49" i="4"/>
  <c r="AO49" i="4"/>
  <c r="AO12" i="5"/>
  <c r="AG12" i="5"/>
  <c r="AN12" i="5"/>
  <c r="AF12" i="5"/>
  <c r="AM12" i="5"/>
  <c r="AE12" i="5"/>
  <c r="AK12" i="5"/>
  <c r="AI12" i="5"/>
  <c r="AL12" i="5"/>
  <c r="Y48" i="4"/>
  <c r="Z48" i="4" s="1"/>
  <c r="AL50" i="4"/>
  <c r="AI38" i="4"/>
  <c r="AO38" i="4"/>
  <c r="AG38" i="4"/>
  <c r="AN38" i="4"/>
  <c r="AF38" i="4"/>
  <c r="AM38" i="4"/>
  <c r="AE38" i="4"/>
  <c r="AL38" i="4"/>
  <c r="AK38" i="4"/>
  <c r="X56" i="4"/>
  <c r="F10" i="1" s="1"/>
  <c r="Y37" i="2"/>
  <c r="Z37" i="2" s="1"/>
  <c r="Y8" i="2"/>
  <c r="Z8" i="2" s="1"/>
  <c r="X43" i="2"/>
  <c r="Y43" i="2" s="1"/>
  <c r="Z43" i="2" s="1"/>
  <c r="X37" i="2"/>
  <c r="X30" i="2"/>
  <c r="Y30" i="2" s="1"/>
  <c r="Z30" i="2" s="1"/>
  <c r="Y24" i="2"/>
  <c r="Z24" i="2" s="1"/>
  <c r="W53" i="2"/>
  <c r="E9" i="1" s="1"/>
  <c r="X3" i="2"/>
  <c r="X29" i="2"/>
  <c r="Y29" i="2" s="1"/>
  <c r="Z29" i="2" s="1"/>
  <c r="X7" i="2"/>
  <c r="Y7" i="2" s="1"/>
  <c r="Z7" i="2" s="1"/>
  <c r="X5" i="2"/>
  <c r="Y5" i="2" s="1"/>
  <c r="Z5" i="2" s="1"/>
  <c r="AO17" i="5"/>
  <c r="AG17" i="5"/>
  <c r="AN17" i="5"/>
  <c r="AF17" i="5"/>
  <c r="AM17" i="5"/>
  <c r="AE17" i="5"/>
  <c r="AJ17" i="5" s="1"/>
  <c r="AK17" i="5"/>
  <c r="AI17" i="5"/>
  <c r="AL17" i="5"/>
  <c r="Y32" i="2"/>
  <c r="Z32" i="2" s="1"/>
  <c r="X21" i="2"/>
  <c r="Y21" i="2" s="1"/>
  <c r="Z21" i="2" s="1"/>
  <c r="E4" i="9"/>
  <c r="F4" i="9" s="1"/>
  <c r="AN53" i="4"/>
  <c r="AF53" i="4"/>
  <c r="AM53" i="4"/>
  <c r="AE53" i="4"/>
  <c r="AL53" i="4"/>
  <c r="AI53" i="4"/>
  <c r="AO53" i="4"/>
  <c r="AK53" i="4"/>
  <c r="AG53" i="4"/>
  <c r="AJ5" i="5"/>
  <c r="AN45" i="4"/>
  <c r="AF45" i="4"/>
  <c r="AM45" i="4"/>
  <c r="AE45" i="4"/>
  <c r="AI45" i="4"/>
  <c r="AL45" i="4"/>
  <c r="AK45" i="4"/>
  <c r="AG45" i="4"/>
  <c r="AO45" i="4"/>
  <c r="Y48" i="2"/>
  <c r="Z48" i="2" s="1"/>
  <c r="AN29" i="4"/>
  <c r="AF29" i="4"/>
  <c r="AM29" i="4"/>
  <c r="AE29" i="4"/>
  <c r="AL29" i="4"/>
  <c r="AK29" i="4"/>
  <c r="AI29" i="4"/>
  <c r="AO29" i="4"/>
  <c r="AG29" i="4"/>
  <c r="AN10" i="4"/>
  <c r="Y35" i="2"/>
  <c r="Z35" i="2" s="1"/>
  <c r="W55" i="4"/>
  <c r="Y55" i="4" s="1"/>
  <c r="Z55" i="4" s="1"/>
  <c r="W46" i="4"/>
  <c r="Y46" i="4" s="1"/>
  <c r="Z46" i="4" s="1"/>
  <c r="W20" i="4"/>
  <c r="Y20" i="4" s="1"/>
  <c r="Z20" i="4" s="1"/>
  <c r="W37" i="4"/>
  <c r="Y37" i="4" s="1"/>
  <c r="Z37" i="4" s="1"/>
  <c r="W11" i="4"/>
  <c r="Y11" i="4" s="1"/>
  <c r="Z11" i="4" s="1"/>
  <c r="W47" i="4"/>
  <c r="Y47" i="4" s="1"/>
  <c r="Z47" i="4" s="1"/>
  <c r="W30" i="4"/>
  <c r="Y30" i="4" s="1"/>
  <c r="Z30" i="4" s="1"/>
  <c r="W16" i="4"/>
  <c r="Y16" i="4" s="1"/>
  <c r="Z16" i="4" s="1"/>
  <c r="W51" i="4"/>
  <c r="Y51" i="4" s="1"/>
  <c r="Z51" i="4" s="1"/>
  <c r="W39" i="4"/>
  <c r="Y39" i="4" s="1"/>
  <c r="Z39" i="4" s="1"/>
  <c r="W28" i="4"/>
  <c r="Y28" i="4" s="1"/>
  <c r="Z28" i="4" s="1"/>
  <c r="W14" i="4"/>
  <c r="Y14" i="4" s="1"/>
  <c r="Z14" i="4" s="1"/>
  <c r="W41" i="4"/>
  <c r="Y41" i="4" s="1"/>
  <c r="Z41" i="4" s="1"/>
  <c r="W6" i="4"/>
  <c r="Y6" i="4" s="1"/>
  <c r="Z6" i="4" s="1"/>
  <c r="W43" i="4"/>
  <c r="Y43" i="4" s="1"/>
  <c r="Z43" i="4" s="1"/>
  <c r="W21" i="4"/>
  <c r="Y21" i="4" s="1"/>
  <c r="Z21" i="4" s="1"/>
  <c r="W33" i="4"/>
  <c r="Y33" i="4" s="1"/>
  <c r="Z33" i="4" s="1"/>
  <c r="W13" i="4"/>
  <c r="Y13" i="4" s="1"/>
  <c r="Z13" i="4" s="1"/>
  <c r="W9" i="4"/>
  <c r="Y9" i="4" s="1"/>
  <c r="Z9" i="4" s="1"/>
  <c r="W3" i="4"/>
  <c r="W22" i="4"/>
  <c r="Y22" i="4" s="1"/>
  <c r="Z22" i="4" s="1"/>
  <c r="W8" i="4"/>
  <c r="Y8" i="4" s="1"/>
  <c r="Z8" i="4" s="1"/>
  <c r="X10" i="2"/>
  <c r="Y10" i="2" s="1"/>
  <c r="Z10" i="2" s="1"/>
  <c r="Y18" i="2"/>
  <c r="Z18" i="2" s="1"/>
  <c r="Y40" i="2"/>
  <c r="Z40" i="2" s="1"/>
  <c r="B5" i="9"/>
  <c r="B6" i="9"/>
  <c r="Y11" i="2"/>
  <c r="Z11" i="2" s="1"/>
  <c r="Y42" i="2"/>
  <c r="Z42" i="2" s="1"/>
  <c r="AO15" i="5"/>
  <c r="AG15" i="5"/>
  <c r="AN15" i="5"/>
  <c r="AF15" i="5"/>
  <c r="AM15" i="5"/>
  <c r="AE15" i="5"/>
  <c r="AK15" i="5"/>
  <c r="AI15" i="5"/>
  <c r="AL15" i="5"/>
  <c r="AN10" i="5"/>
  <c r="AM10" i="5"/>
  <c r="AE10" i="5"/>
  <c r="AK10" i="5"/>
  <c r="AO10" i="5"/>
  <c r="AL10" i="5"/>
  <c r="AI10" i="5"/>
  <c r="AG10" i="5"/>
  <c r="AF10" i="5"/>
  <c r="AG52" i="4"/>
  <c r="D3" i="9"/>
  <c r="E3" i="9" s="1"/>
  <c r="F3" i="9" s="1"/>
  <c r="X18" i="5"/>
  <c r="F11" i="1" s="1"/>
  <c r="W18" i="5"/>
  <c r="E11" i="1" s="1"/>
  <c r="AM24" i="4"/>
  <c r="AE24" i="4"/>
  <c r="AL24" i="4"/>
  <c r="AK24" i="4"/>
  <c r="AI24" i="4"/>
  <c r="AO24" i="4"/>
  <c r="AN24" i="4"/>
  <c r="AG24" i="4"/>
  <c r="AF24" i="4"/>
  <c r="Y41" i="2"/>
  <c r="Z41" i="2" s="1"/>
  <c r="Y38" i="2"/>
  <c r="Z38" i="2" s="1"/>
  <c r="X46" i="2"/>
  <c r="Y46" i="2" s="1"/>
  <c r="Z46" i="2" s="1"/>
  <c r="Y19" i="2"/>
  <c r="Z19" i="2" s="1"/>
  <c r="X45" i="2"/>
  <c r="Y45" i="2" s="1"/>
  <c r="Z45" i="2" s="1"/>
  <c r="Y52" i="2"/>
  <c r="Z52" i="2" s="1"/>
  <c r="Y16" i="2"/>
  <c r="Z16" i="2" s="1"/>
  <c r="Y15" i="2"/>
  <c r="Z15" i="2" s="1"/>
  <c r="X44" i="2"/>
  <c r="Y44" i="2" s="1"/>
  <c r="Z44" i="2" s="1"/>
  <c r="Y26" i="2"/>
  <c r="Z26" i="2" s="1"/>
  <c r="Y47" i="2"/>
  <c r="Z47" i="2" s="1"/>
  <c r="X23" i="2"/>
  <c r="Y23" i="2" s="1"/>
  <c r="Z23" i="2" s="1"/>
  <c r="X4" i="2"/>
  <c r="Y4" i="2" s="1"/>
  <c r="Z4" i="2" s="1"/>
  <c r="AF52" i="4" l="1"/>
  <c r="AM10" i="4"/>
  <c r="AJ12" i="5"/>
  <c r="AE35" i="4"/>
  <c r="AK35" i="4"/>
  <c r="AN52" i="4"/>
  <c r="AJ52" i="4" s="1"/>
  <c r="AF10" i="4"/>
  <c r="AM35" i="4"/>
  <c r="AL35" i="4"/>
  <c r="AI54" i="4"/>
  <c r="AJ31" i="4"/>
  <c r="AH14" i="5"/>
  <c r="AN35" i="4"/>
  <c r="AF35" i="4"/>
  <c r="AH35" i="4" s="1"/>
  <c r="AL52" i="4"/>
  <c r="AI52" i="4"/>
  <c r="AO10" i="4"/>
  <c r="AJ29" i="4"/>
  <c r="AJ4" i="5"/>
  <c r="AF44" i="4"/>
  <c r="AG35" i="4"/>
  <c r="AJ40" i="4"/>
  <c r="AO32" i="4"/>
  <c r="AE54" i="4"/>
  <c r="AG10" i="4"/>
  <c r="AI10" i="4"/>
  <c r="AH19" i="4"/>
  <c r="AN44" i="4"/>
  <c r="AO35" i="4"/>
  <c r="AI32" i="4"/>
  <c r="AO52" i="4"/>
  <c r="AJ15" i="5"/>
  <c r="AK52" i="4"/>
  <c r="AH24" i="4"/>
  <c r="AE52" i="4"/>
  <c r="AE10" i="4"/>
  <c r="AK10" i="4"/>
  <c r="AH10" i="4" s="1"/>
  <c r="AG44" i="4"/>
  <c r="AJ44" i="4" s="1"/>
  <c r="AI35" i="4"/>
  <c r="AJ7" i="5"/>
  <c r="AH49" i="4"/>
  <c r="AF42" i="4"/>
  <c r="AE44" i="4"/>
  <c r="AK32" i="4"/>
  <c r="AF54" i="4"/>
  <c r="AJ54" i="4"/>
  <c r="AE34" i="4"/>
  <c r="AL7" i="4"/>
  <c r="AH7" i="5"/>
  <c r="AJ6" i="5"/>
  <c r="AH15" i="5"/>
  <c r="AJ10" i="5"/>
  <c r="AJ10" i="4"/>
  <c r="AH17" i="5"/>
  <c r="AM50" i="4"/>
  <c r="AJ49" i="4"/>
  <c r="AN34" i="4"/>
  <c r="AM34" i="4"/>
  <c r="AH31" i="4"/>
  <c r="AM26" i="4"/>
  <c r="AM7" i="4"/>
  <c r="AE23" i="4"/>
  <c r="AF17" i="4"/>
  <c r="AM36" i="4"/>
  <c r="AH16" i="5"/>
  <c r="AE50" i="4"/>
  <c r="AJ45" i="4"/>
  <c r="AG50" i="4"/>
  <c r="AJ50" i="4" s="1"/>
  <c r="AH12" i="5"/>
  <c r="AF34" i="4"/>
  <c r="AH4" i="5"/>
  <c r="AF26" i="4"/>
  <c r="AJ42" i="4"/>
  <c r="AH15" i="4"/>
  <c r="AF7" i="4"/>
  <c r="AM23" i="4"/>
  <c r="AH44" i="4"/>
  <c r="AG17" i="4"/>
  <c r="AF36" i="4"/>
  <c r="AH8" i="5"/>
  <c r="AO50" i="4"/>
  <c r="AG34" i="4"/>
  <c r="AN26" i="4"/>
  <c r="AG7" i="4"/>
  <c r="AN7" i="4"/>
  <c r="AF23" i="4"/>
  <c r="AO17" i="4"/>
  <c r="AN36" i="4"/>
  <c r="AJ53" i="4"/>
  <c r="AF50" i="4"/>
  <c r="AI50" i="4"/>
  <c r="AH12" i="4"/>
  <c r="AO34" i="4"/>
  <c r="AG26" i="4"/>
  <c r="AI7" i="4"/>
  <c r="AG23" i="4"/>
  <c r="AN23" i="4"/>
  <c r="AI17" i="4"/>
  <c r="AG36" i="4"/>
  <c r="AH10" i="5"/>
  <c r="AH38" i="4"/>
  <c r="AK50" i="4"/>
  <c r="AI34" i="4"/>
  <c r="AJ18" i="4"/>
  <c r="AH25" i="4"/>
  <c r="AJ5" i="4"/>
  <c r="AO26" i="4"/>
  <c r="AK7" i="4"/>
  <c r="AO23" i="4"/>
  <c r="AK17" i="4"/>
  <c r="AO36" i="4"/>
  <c r="AM32" i="4"/>
  <c r="AN54" i="4"/>
  <c r="AM54" i="4"/>
  <c r="AH6" i="5"/>
  <c r="AJ11" i="5"/>
  <c r="AJ25" i="4"/>
  <c r="AL26" i="4"/>
  <c r="AJ24" i="4"/>
  <c r="AH45" i="4"/>
  <c r="AJ4" i="4"/>
  <c r="AH13" i="5"/>
  <c r="AM17" i="4"/>
  <c r="AH17" i="4" s="1"/>
  <c r="AO6" i="2"/>
  <c r="AG6" i="2"/>
  <c r="AN6" i="2"/>
  <c r="AF6" i="2"/>
  <c r="AM6" i="2"/>
  <c r="AE6" i="2"/>
  <c r="AL6" i="2"/>
  <c r="AI6" i="2"/>
  <c r="AK6" i="2"/>
  <c r="AJ6" i="2"/>
  <c r="AM39" i="2"/>
  <c r="AE39" i="2"/>
  <c r="AL39" i="2"/>
  <c r="AK39" i="2"/>
  <c r="AJ39" i="2"/>
  <c r="AI39" i="2"/>
  <c r="AO39" i="2"/>
  <c r="AG39" i="2"/>
  <c r="AN39" i="2"/>
  <c r="AF39" i="2"/>
  <c r="AL28" i="2"/>
  <c r="AK28" i="2"/>
  <c r="AI28" i="2"/>
  <c r="AO28" i="2"/>
  <c r="AG28" i="2"/>
  <c r="AN28" i="2"/>
  <c r="AM28" i="2"/>
  <c r="AF28" i="2"/>
  <c r="AE28" i="2"/>
  <c r="AO36" i="2"/>
  <c r="AG36" i="2"/>
  <c r="AN36" i="2"/>
  <c r="AF36" i="2"/>
  <c r="AM36" i="2"/>
  <c r="AE36" i="2"/>
  <c r="AL36" i="2"/>
  <c r="AK36" i="2"/>
  <c r="AI36" i="2"/>
  <c r="AM33" i="2"/>
  <c r="AE33" i="2"/>
  <c r="AL33" i="2"/>
  <c r="AK33" i="2"/>
  <c r="AI33" i="2"/>
  <c r="AO33" i="2"/>
  <c r="AG33" i="2"/>
  <c r="AF33" i="2"/>
  <c r="AN33" i="2"/>
  <c r="AK34" i="2"/>
  <c r="AI34" i="2"/>
  <c r="AO34" i="2"/>
  <c r="AG34" i="2"/>
  <c r="AN34" i="2"/>
  <c r="AF34" i="2"/>
  <c r="AM34" i="2"/>
  <c r="AE34" i="2"/>
  <c r="AL34" i="2"/>
  <c r="AO25" i="2"/>
  <c r="AG25" i="2"/>
  <c r="AN25" i="2"/>
  <c r="AF25" i="2"/>
  <c r="AM25" i="2"/>
  <c r="AE25" i="2"/>
  <c r="AL25" i="2"/>
  <c r="AK25" i="2"/>
  <c r="AI25" i="2"/>
  <c r="AJ25" i="2"/>
  <c r="AM10" i="2"/>
  <c r="AE10" i="2"/>
  <c r="AL10" i="2"/>
  <c r="AK10" i="2"/>
  <c r="AI10" i="2"/>
  <c r="AF10" i="2"/>
  <c r="AN10" i="2"/>
  <c r="AO10" i="2"/>
  <c r="AG10" i="2"/>
  <c r="AJ4" i="2"/>
  <c r="AI4" i="2"/>
  <c r="AO4" i="2"/>
  <c r="AG4" i="2"/>
  <c r="AK4" i="2"/>
  <c r="AN4" i="2"/>
  <c r="AF4" i="2"/>
  <c r="AM4" i="2"/>
  <c r="AE4" i="2"/>
  <c r="AL4" i="2"/>
  <c r="AK30" i="2"/>
  <c r="AJ30" i="2"/>
  <c r="AI30" i="2"/>
  <c r="AO30" i="2"/>
  <c r="AG30" i="2"/>
  <c r="AN30" i="2"/>
  <c r="AF30" i="2"/>
  <c r="AM30" i="2"/>
  <c r="AL30" i="2"/>
  <c r="AE30" i="2"/>
  <c r="AO9" i="2"/>
  <c r="AG9" i="2"/>
  <c r="AJ9" i="2" s="1"/>
  <c r="AN9" i="2"/>
  <c r="AF9" i="2"/>
  <c r="AM9" i="2"/>
  <c r="AE9" i="2"/>
  <c r="AL9" i="2"/>
  <c r="AK9" i="2"/>
  <c r="AI9" i="2"/>
  <c r="AO22" i="2"/>
  <c r="AG22" i="2"/>
  <c r="AN22" i="2"/>
  <c r="AF22" i="2"/>
  <c r="AM22" i="2"/>
  <c r="AE22" i="2"/>
  <c r="AI22" i="2"/>
  <c r="AL22" i="2"/>
  <c r="AK22" i="2"/>
  <c r="AJ22" i="2"/>
  <c r="AO44" i="2"/>
  <c r="AG44" i="2"/>
  <c r="AN44" i="2"/>
  <c r="AF44" i="2"/>
  <c r="AM44" i="2"/>
  <c r="AE44" i="2"/>
  <c r="AL44" i="2"/>
  <c r="AK44" i="2"/>
  <c r="AJ44" i="2"/>
  <c r="AI44" i="2"/>
  <c r="AI49" i="2"/>
  <c r="AO49" i="2"/>
  <c r="AG49" i="2"/>
  <c r="AN49" i="2"/>
  <c r="AF49" i="2"/>
  <c r="AH49" i="2" s="1"/>
  <c r="AM49" i="2"/>
  <c r="AE49" i="2"/>
  <c r="AL49" i="2"/>
  <c r="AK49" i="2"/>
  <c r="AI5" i="2"/>
  <c r="AH5" i="2"/>
  <c r="AO5" i="2"/>
  <c r="AG5" i="2"/>
  <c r="AN5" i="2"/>
  <c r="AF5" i="2"/>
  <c r="AM5" i="2"/>
  <c r="AE5" i="2"/>
  <c r="AL5" i="2"/>
  <c r="AK5" i="2"/>
  <c r="AI50" i="2"/>
  <c r="AO50" i="2"/>
  <c r="AG50" i="2"/>
  <c r="AN50" i="2"/>
  <c r="AF50" i="2"/>
  <c r="AM50" i="2"/>
  <c r="AE50" i="2"/>
  <c r="AL50" i="2"/>
  <c r="AK50" i="2"/>
  <c r="AJ50" i="2"/>
  <c r="AM46" i="2"/>
  <c r="AE46" i="2"/>
  <c r="AL46" i="2"/>
  <c r="AK46" i="2"/>
  <c r="AJ46" i="2"/>
  <c r="AI46" i="2"/>
  <c r="AO46" i="2"/>
  <c r="AH46" i="2" s="1"/>
  <c r="AG46" i="2"/>
  <c r="AF46" i="2"/>
  <c r="AN46" i="2"/>
  <c r="AM7" i="2"/>
  <c r="AE7" i="2"/>
  <c r="AL7" i="2"/>
  <c r="AK7" i="2"/>
  <c r="AN7" i="2"/>
  <c r="AI7" i="2"/>
  <c r="AF7" i="2"/>
  <c r="AO7" i="2"/>
  <c r="AG7" i="2"/>
  <c r="AI43" i="2"/>
  <c r="AO43" i="2"/>
  <c r="AG43" i="2"/>
  <c r="AN43" i="2"/>
  <c r="AF43" i="2"/>
  <c r="AM43" i="2"/>
  <c r="AE43" i="2"/>
  <c r="AL43" i="2"/>
  <c r="AK43" i="2"/>
  <c r="AI31" i="2"/>
  <c r="AO31" i="2"/>
  <c r="AG31" i="2"/>
  <c r="AN31" i="2"/>
  <c r="AF31" i="2"/>
  <c r="AM31" i="2"/>
  <c r="AE31" i="2"/>
  <c r="AL31" i="2"/>
  <c r="AK31" i="2"/>
  <c r="AO51" i="2"/>
  <c r="AG51" i="2"/>
  <c r="AN51" i="2"/>
  <c r="AF51" i="2"/>
  <c r="AM51" i="2"/>
  <c r="AE51" i="2"/>
  <c r="AL51" i="2"/>
  <c r="AK51" i="2"/>
  <c r="AJ51" i="2"/>
  <c r="AI51" i="2"/>
  <c r="AL9" i="4"/>
  <c r="AK9" i="4"/>
  <c r="AO9" i="4"/>
  <c r="AG9" i="4"/>
  <c r="AM9" i="4"/>
  <c r="AI9" i="4"/>
  <c r="AF9" i="4"/>
  <c r="AH9" i="4" s="1"/>
  <c r="AE9" i="4"/>
  <c r="AN9" i="4"/>
  <c r="AO39" i="4"/>
  <c r="AG39" i="4"/>
  <c r="AN39" i="4"/>
  <c r="AF39" i="4"/>
  <c r="AM39" i="4"/>
  <c r="AE39" i="4"/>
  <c r="AL39" i="4"/>
  <c r="AK39" i="4"/>
  <c r="AI39" i="4"/>
  <c r="AM46" i="4"/>
  <c r="AE46" i="4"/>
  <c r="AL46" i="4"/>
  <c r="AI46" i="4"/>
  <c r="AG46" i="4"/>
  <c r="AF46" i="4"/>
  <c r="AO46" i="4"/>
  <c r="AN46" i="4"/>
  <c r="AK46" i="4"/>
  <c r="X53" i="2"/>
  <c r="F9" i="1"/>
  <c r="X10" i="8"/>
  <c r="Y10" i="8" s="1"/>
  <c r="Z10" i="8" s="1"/>
  <c r="X12" i="8"/>
  <c r="Y12" i="8" s="1"/>
  <c r="Z12" i="8" s="1"/>
  <c r="X14" i="8"/>
  <c r="Y14" i="8" s="1"/>
  <c r="Z14" i="8" s="1"/>
  <c r="X16" i="8"/>
  <c r="Y16" i="8" s="1"/>
  <c r="Z16" i="8" s="1"/>
  <c r="AH40" i="4"/>
  <c r="AK19" i="2"/>
  <c r="AI19" i="2"/>
  <c r="AL19" i="2"/>
  <c r="AO19" i="2"/>
  <c r="AG19" i="2"/>
  <c r="AN19" i="2"/>
  <c r="AF19" i="2"/>
  <c r="AM19" i="2"/>
  <c r="AE19" i="2"/>
  <c r="AL29" i="2"/>
  <c r="AK29" i="2"/>
  <c r="AJ29" i="2"/>
  <c r="AI29" i="2"/>
  <c r="AO29" i="2"/>
  <c r="AG29" i="2"/>
  <c r="AF29" i="2"/>
  <c r="AE29" i="2"/>
  <c r="AM29" i="2"/>
  <c r="AN29" i="2"/>
  <c r="AO33" i="4"/>
  <c r="AG33" i="4"/>
  <c r="AN33" i="4"/>
  <c r="AF33" i="4"/>
  <c r="AM33" i="4"/>
  <c r="AE33" i="4"/>
  <c r="AL33" i="4"/>
  <c r="AK33" i="4"/>
  <c r="AI33" i="4"/>
  <c r="AO51" i="4"/>
  <c r="AG51" i="4"/>
  <c r="AN51" i="4"/>
  <c r="AF51" i="4"/>
  <c r="AL51" i="4"/>
  <c r="AK51" i="4"/>
  <c r="AM51" i="4"/>
  <c r="AI51" i="4"/>
  <c r="AE51" i="4"/>
  <c r="AL55" i="4"/>
  <c r="AK55" i="4"/>
  <c r="AI55" i="4"/>
  <c r="AO55" i="4"/>
  <c r="AG55" i="4"/>
  <c r="AN55" i="4"/>
  <c r="AF55" i="4"/>
  <c r="AM55" i="4"/>
  <c r="AE55" i="4"/>
  <c r="Y3" i="2"/>
  <c r="AI8" i="2"/>
  <c r="AO8" i="2"/>
  <c r="AG8" i="2"/>
  <c r="AK8" i="2"/>
  <c r="AN8" i="2"/>
  <c r="AF8" i="2"/>
  <c r="AM8" i="2"/>
  <c r="AE8" i="2"/>
  <c r="AL8" i="2"/>
  <c r="AN27" i="2"/>
  <c r="AF27" i="2"/>
  <c r="AM27" i="2"/>
  <c r="AE27" i="2"/>
  <c r="AL27" i="2"/>
  <c r="AK27" i="2"/>
  <c r="AJ27" i="2"/>
  <c r="AO27" i="2"/>
  <c r="AI27" i="2"/>
  <c r="AG27" i="2"/>
  <c r="X18" i="8"/>
  <c r="Y18" i="8" s="1"/>
  <c r="Z18" i="8" s="1"/>
  <c r="X20" i="8"/>
  <c r="Y20" i="8" s="1"/>
  <c r="Z20" i="8" s="1"/>
  <c r="X22" i="8"/>
  <c r="Y22" i="8" s="1"/>
  <c r="Z22" i="8" s="1"/>
  <c r="X24" i="8"/>
  <c r="Y24" i="8" s="1"/>
  <c r="Z24" i="8" s="1"/>
  <c r="AO32" i="2"/>
  <c r="AG32" i="2"/>
  <c r="AN32" i="2"/>
  <c r="AF32" i="2"/>
  <c r="AM32" i="2"/>
  <c r="AE32" i="2"/>
  <c r="AL32" i="2"/>
  <c r="AK32" i="2"/>
  <c r="AI32" i="2"/>
  <c r="AI13" i="2"/>
  <c r="AH13" i="2"/>
  <c r="AO13" i="2"/>
  <c r="AG13" i="2"/>
  <c r="AN13" i="2"/>
  <c r="AF13" i="2"/>
  <c r="AM13" i="2"/>
  <c r="AE13" i="2"/>
  <c r="AL13" i="2"/>
  <c r="AK13" i="2"/>
  <c r="X25" i="8"/>
  <c r="Y25" i="8" s="1"/>
  <c r="Z25" i="8" s="1"/>
  <c r="AO13" i="4"/>
  <c r="AG13" i="4"/>
  <c r="AN13" i="4"/>
  <c r="AF13" i="4"/>
  <c r="AM13" i="4"/>
  <c r="AE13" i="4"/>
  <c r="AL13" i="4"/>
  <c r="AK13" i="4"/>
  <c r="AI13" i="4"/>
  <c r="AK41" i="2"/>
  <c r="AI41" i="2"/>
  <c r="AO41" i="2"/>
  <c r="AG41" i="2"/>
  <c r="AN41" i="2"/>
  <c r="AF41" i="2"/>
  <c r="AM41" i="2"/>
  <c r="AE41" i="2"/>
  <c r="AL41" i="2"/>
  <c r="AO23" i="2"/>
  <c r="AG23" i="2"/>
  <c r="AN23" i="2"/>
  <c r="AF23" i="2"/>
  <c r="AM23" i="2"/>
  <c r="AE23" i="2"/>
  <c r="AH23" i="2" s="1"/>
  <c r="AL23" i="2"/>
  <c r="AK23" i="2"/>
  <c r="AJ23" i="2"/>
  <c r="AI23" i="2"/>
  <c r="AM16" i="4"/>
  <c r="AE16" i="4"/>
  <c r="AL16" i="4"/>
  <c r="AK16" i="4"/>
  <c r="AI16" i="4"/>
  <c r="AO16" i="4"/>
  <c r="AN16" i="4"/>
  <c r="AG16" i="4"/>
  <c r="AF16" i="4"/>
  <c r="AN45" i="2"/>
  <c r="AF45" i="2"/>
  <c r="AM45" i="2"/>
  <c r="AE45" i="2"/>
  <c r="AL45" i="2"/>
  <c r="AK45" i="2"/>
  <c r="AI45" i="2"/>
  <c r="AO45" i="2"/>
  <c r="AG45" i="2"/>
  <c r="AH29" i="4"/>
  <c r="AN37" i="2"/>
  <c r="AF37" i="2"/>
  <c r="AM37" i="2"/>
  <c r="AE37" i="2"/>
  <c r="AL37" i="2"/>
  <c r="AK37" i="2"/>
  <c r="AI37" i="2"/>
  <c r="AO37" i="2"/>
  <c r="AG37" i="2"/>
  <c r="AM17" i="2"/>
  <c r="AE17" i="2"/>
  <c r="AL17" i="2"/>
  <c r="AK17" i="2"/>
  <c r="AN17" i="2"/>
  <c r="AI17" i="2"/>
  <c r="AF17" i="2"/>
  <c r="AH17" i="2"/>
  <c r="AO17" i="2"/>
  <c r="AG17" i="2"/>
  <c r="X26" i="8"/>
  <c r="Y26" i="8" s="1"/>
  <c r="Z26" i="8" s="1"/>
  <c r="X28" i="8"/>
  <c r="Y28" i="8" s="1"/>
  <c r="Z28" i="8" s="1"/>
  <c r="X30" i="8"/>
  <c r="Y30" i="8" s="1"/>
  <c r="Z30" i="8" s="1"/>
  <c r="X32" i="8"/>
  <c r="Y32" i="8" s="1"/>
  <c r="Z32" i="8" s="1"/>
  <c r="X4" i="8"/>
  <c r="Y4" i="8" s="1"/>
  <c r="Z4" i="8" s="1"/>
  <c r="AJ42" i="2"/>
  <c r="AI42" i="2"/>
  <c r="AO42" i="2"/>
  <c r="AG42" i="2"/>
  <c r="AN42" i="2"/>
  <c r="AF42" i="2"/>
  <c r="AM42" i="2"/>
  <c r="AE42" i="2"/>
  <c r="AL42" i="2"/>
  <c r="AK42" i="2"/>
  <c r="AO15" i="2"/>
  <c r="AG15" i="2"/>
  <c r="AN15" i="2"/>
  <c r="AF15" i="2"/>
  <c r="AM15" i="2"/>
  <c r="AE15" i="2"/>
  <c r="AL15" i="2"/>
  <c r="AH15" i="2"/>
  <c r="AK15" i="2"/>
  <c r="AI15" i="2"/>
  <c r="AK11" i="2"/>
  <c r="AI11" i="2"/>
  <c r="AH11" i="2"/>
  <c r="AO11" i="2"/>
  <c r="AG11" i="2"/>
  <c r="AN11" i="2"/>
  <c r="AF11" i="2"/>
  <c r="AL11" i="2"/>
  <c r="AM11" i="2"/>
  <c r="AE11" i="2"/>
  <c r="AM8" i="4"/>
  <c r="AE8" i="4"/>
  <c r="AL8" i="4"/>
  <c r="AK8" i="4"/>
  <c r="AN8" i="4"/>
  <c r="AI8" i="4"/>
  <c r="AG8" i="4"/>
  <c r="AF8" i="4"/>
  <c r="AO8" i="4"/>
  <c r="AO43" i="4"/>
  <c r="AG43" i="4"/>
  <c r="AL43" i="4"/>
  <c r="AK43" i="4"/>
  <c r="AN43" i="4"/>
  <c r="AM43" i="4"/>
  <c r="AI43" i="4"/>
  <c r="AF43" i="4"/>
  <c r="AE43" i="4"/>
  <c r="AM30" i="4"/>
  <c r="AE30" i="4"/>
  <c r="AL30" i="4"/>
  <c r="AK30" i="4"/>
  <c r="AI30" i="4"/>
  <c r="AO30" i="4"/>
  <c r="AG30" i="4"/>
  <c r="AN30" i="4"/>
  <c r="AF30" i="4"/>
  <c r="AI35" i="2"/>
  <c r="AO35" i="2"/>
  <c r="AG35" i="2"/>
  <c r="AN35" i="2"/>
  <c r="AF35" i="2"/>
  <c r="AM35" i="2"/>
  <c r="AE35" i="2"/>
  <c r="AL35" i="2"/>
  <c r="AK35" i="2"/>
  <c r="AO24" i="2"/>
  <c r="AG24" i="2"/>
  <c r="AM24" i="2"/>
  <c r="AI24" i="2"/>
  <c r="AH24" i="2" s="1"/>
  <c r="AF24" i="2"/>
  <c r="AE24" i="2"/>
  <c r="AJ24" i="2"/>
  <c r="AN24" i="2"/>
  <c r="AL24" i="2"/>
  <c r="AK24" i="2"/>
  <c r="AK48" i="4"/>
  <c r="AI48" i="4"/>
  <c r="AO48" i="4"/>
  <c r="AG48" i="4"/>
  <c r="AN48" i="4"/>
  <c r="AF48" i="4"/>
  <c r="AL48" i="4"/>
  <c r="AE48" i="4"/>
  <c r="AM48" i="4"/>
  <c r="D2" i="9"/>
  <c r="E2" i="9" s="1"/>
  <c r="F2" i="9" s="1"/>
  <c r="AH11" i="5"/>
  <c r="AH4" i="4"/>
  <c r="AJ12" i="4"/>
  <c r="AH18" i="4"/>
  <c r="AI20" i="2"/>
  <c r="AO20" i="2"/>
  <c r="AG20" i="2"/>
  <c r="AK20" i="2"/>
  <c r="AN20" i="2"/>
  <c r="AF20" i="2"/>
  <c r="AM20" i="2"/>
  <c r="AE20" i="2"/>
  <c r="AL20" i="2"/>
  <c r="AH5" i="4"/>
  <c r="AH42" i="4"/>
  <c r="W33" i="8"/>
  <c r="E12" i="1" s="1"/>
  <c r="X3" i="8"/>
  <c r="X5" i="8"/>
  <c r="Y5" i="8" s="1"/>
  <c r="Z5" i="8" s="1"/>
  <c r="X7" i="8"/>
  <c r="Y7" i="8" s="1"/>
  <c r="Z7" i="8" s="1"/>
  <c r="AI27" i="4"/>
  <c r="AO27" i="4"/>
  <c r="AG27" i="4"/>
  <c r="AN27" i="4"/>
  <c r="AF27" i="4"/>
  <c r="AM27" i="4"/>
  <c r="AE27" i="4"/>
  <c r="AL27" i="4"/>
  <c r="AK27" i="4"/>
  <c r="AL47" i="2"/>
  <c r="AK47" i="2"/>
  <c r="AJ47" i="2"/>
  <c r="AI47" i="2"/>
  <c r="AO47" i="2"/>
  <c r="AG47" i="2"/>
  <c r="AN47" i="2"/>
  <c r="AF47" i="2"/>
  <c r="AM47" i="2"/>
  <c r="AE47" i="2"/>
  <c r="AI20" i="4"/>
  <c r="AO20" i="4"/>
  <c r="AG20" i="4"/>
  <c r="AN20" i="4"/>
  <c r="AF20" i="4"/>
  <c r="AM20" i="4"/>
  <c r="AE20" i="4"/>
  <c r="AL20" i="4"/>
  <c r="AK20" i="4"/>
  <c r="AJ20" i="4"/>
  <c r="X8" i="8"/>
  <c r="Y8" i="8" s="1"/>
  <c r="Z8" i="8" s="1"/>
  <c r="AO26" i="2"/>
  <c r="AG26" i="2"/>
  <c r="AN26" i="2"/>
  <c r="AF26" i="2"/>
  <c r="AM26" i="2"/>
  <c r="AE26" i="2"/>
  <c r="AL26" i="2"/>
  <c r="AK26" i="2"/>
  <c r="AI26" i="2"/>
  <c r="AJ26" i="2"/>
  <c r="AO21" i="4"/>
  <c r="AG21" i="4"/>
  <c r="AN21" i="4"/>
  <c r="AF21" i="4"/>
  <c r="AM21" i="4"/>
  <c r="AE21" i="4"/>
  <c r="AL21" i="4"/>
  <c r="AK21" i="4"/>
  <c r="AJ21" i="4"/>
  <c r="AI21" i="4"/>
  <c r="AN16" i="2"/>
  <c r="AF16" i="2"/>
  <c r="AM16" i="2"/>
  <c r="AE16" i="2"/>
  <c r="AL16" i="2"/>
  <c r="AK16" i="2"/>
  <c r="AO16" i="2"/>
  <c r="AI16" i="2"/>
  <c r="AG16" i="2"/>
  <c r="AH16" i="2"/>
  <c r="C6" i="9"/>
  <c r="D6" i="9" s="1"/>
  <c r="AO6" i="4"/>
  <c r="AG6" i="4"/>
  <c r="AM6" i="4"/>
  <c r="AL6" i="4"/>
  <c r="AK6" i="4"/>
  <c r="AI6" i="4"/>
  <c r="AF6" i="4"/>
  <c r="AN6" i="4"/>
  <c r="AE6" i="4"/>
  <c r="AL47" i="4"/>
  <c r="AK47" i="4"/>
  <c r="AO47" i="4"/>
  <c r="AG47" i="4"/>
  <c r="AF47" i="4"/>
  <c r="AE47" i="4"/>
  <c r="AN47" i="4"/>
  <c r="AM47" i="4"/>
  <c r="AI47" i="4"/>
  <c r="AK48" i="2"/>
  <c r="AI48" i="2"/>
  <c r="AO48" i="2"/>
  <c r="AG48" i="2"/>
  <c r="AN48" i="2"/>
  <c r="AF48" i="2"/>
  <c r="AM48" i="2"/>
  <c r="AE48" i="2"/>
  <c r="AL48" i="2"/>
  <c r="AH53" i="4"/>
  <c r="AI12" i="2"/>
  <c r="AH12" i="2"/>
  <c r="AO12" i="2"/>
  <c r="AG12" i="2"/>
  <c r="AN12" i="2"/>
  <c r="AF12" i="2"/>
  <c r="AM12" i="2"/>
  <c r="AE12" i="2"/>
  <c r="AK12" i="2"/>
  <c r="AL12" i="2"/>
  <c r="X11" i="8"/>
  <c r="Y11" i="8" s="1"/>
  <c r="Z11" i="8" s="1"/>
  <c r="X13" i="8"/>
  <c r="Y13" i="8" s="1"/>
  <c r="Z13" i="8" s="1"/>
  <c r="X15" i="8"/>
  <c r="Y15" i="8" s="1"/>
  <c r="Z15" i="8" s="1"/>
  <c r="AJ8" i="5"/>
  <c r="AL18" i="2"/>
  <c r="AK18" i="2"/>
  <c r="AI18" i="2"/>
  <c r="AE18" i="2"/>
  <c r="AH18" i="2"/>
  <c r="AO18" i="2"/>
  <c r="AG18" i="2"/>
  <c r="AM18" i="2"/>
  <c r="AN18" i="2"/>
  <c r="AF18" i="2"/>
  <c r="AO22" i="4"/>
  <c r="AG22" i="4"/>
  <c r="AN22" i="4"/>
  <c r="AF22" i="4"/>
  <c r="AM22" i="4"/>
  <c r="AE22" i="4"/>
  <c r="AL22" i="4"/>
  <c r="AK22" i="4"/>
  <c r="AI22" i="4"/>
  <c r="AN41" i="4"/>
  <c r="AF41" i="4"/>
  <c r="AM41" i="4"/>
  <c r="AE41" i="4"/>
  <c r="AI41" i="4"/>
  <c r="AG41" i="4"/>
  <c r="AO41" i="4"/>
  <c r="AL41" i="4"/>
  <c r="AK41" i="4"/>
  <c r="AI11" i="4"/>
  <c r="AO11" i="4"/>
  <c r="AG11" i="4"/>
  <c r="AN11" i="4"/>
  <c r="AF11" i="4"/>
  <c r="AM11" i="4"/>
  <c r="AE11" i="4"/>
  <c r="AL11" i="4"/>
  <c r="AK11" i="4"/>
  <c r="AI21" i="2"/>
  <c r="AO21" i="2"/>
  <c r="AG21" i="2"/>
  <c r="AN21" i="2"/>
  <c r="AF21" i="2"/>
  <c r="AJ21" i="2"/>
  <c r="AM21" i="2"/>
  <c r="AE21" i="2"/>
  <c r="AL21" i="2"/>
  <c r="AK21" i="2"/>
  <c r="AJ38" i="4"/>
  <c r="AH14" i="2"/>
  <c r="AO14" i="2"/>
  <c r="AG14" i="2"/>
  <c r="AN14" i="2"/>
  <c r="AF14" i="2"/>
  <c r="AM14" i="2"/>
  <c r="AE14" i="2"/>
  <c r="AI14" i="2"/>
  <c r="AL14" i="2"/>
  <c r="AK14" i="2"/>
  <c r="X9" i="8"/>
  <c r="Y9" i="8" s="1"/>
  <c r="Z9" i="8" s="1"/>
  <c r="X19" i="8"/>
  <c r="Y19" i="8" s="1"/>
  <c r="Z19" i="8" s="1"/>
  <c r="X21" i="8"/>
  <c r="Y21" i="8" s="1"/>
  <c r="Z21" i="8" s="1"/>
  <c r="X23" i="8"/>
  <c r="Y23" i="8" s="1"/>
  <c r="Z23" i="8" s="1"/>
  <c r="AO28" i="4"/>
  <c r="AG28" i="4"/>
  <c r="AN28" i="4"/>
  <c r="AF28" i="4"/>
  <c r="AM28" i="4"/>
  <c r="AE28" i="4"/>
  <c r="AL28" i="4"/>
  <c r="AK28" i="4"/>
  <c r="AI28" i="4"/>
  <c r="AI18" i="5"/>
  <c r="AO18" i="5"/>
  <c r="AG18" i="5"/>
  <c r="AM18" i="5"/>
  <c r="AL18" i="5"/>
  <c r="AK18" i="5"/>
  <c r="AJ18" i="5"/>
  <c r="AN18" i="5"/>
  <c r="X6" i="8"/>
  <c r="Y6" i="8" s="1"/>
  <c r="Z6" i="8" s="1"/>
  <c r="AM38" i="2"/>
  <c r="AE38" i="2"/>
  <c r="AL38" i="2"/>
  <c r="AK38" i="2"/>
  <c r="AJ38" i="2"/>
  <c r="AI38" i="2"/>
  <c r="AO38" i="2"/>
  <c r="AG38" i="2"/>
  <c r="AN38" i="2"/>
  <c r="AF38" i="2"/>
  <c r="AO52" i="2"/>
  <c r="AG52" i="2"/>
  <c r="AN52" i="2"/>
  <c r="AF52" i="2"/>
  <c r="AM52" i="2"/>
  <c r="AE52" i="2"/>
  <c r="AL52" i="2"/>
  <c r="AK52" i="2"/>
  <c r="AJ52" i="2"/>
  <c r="AI52" i="2"/>
  <c r="C5" i="9"/>
  <c r="D5" i="9" s="1"/>
  <c r="AL40" i="2"/>
  <c r="AK40" i="2"/>
  <c r="AJ40" i="2"/>
  <c r="AI40" i="2"/>
  <c r="AO40" i="2"/>
  <c r="AG40" i="2"/>
  <c r="AN40" i="2"/>
  <c r="AF40" i="2"/>
  <c r="AM40" i="2"/>
  <c r="AE40" i="2"/>
  <c r="W56" i="4"/>
  <c r="E10" i="1" s="1"/>
  <c r="Y3" i="4"/>
  <c r="AO14" i="4"/>
  <c r="AG14" i="4"/>
  <c r="AN14" i="4"/>
  <c r="AF14" i="4"/>
  <c r="AM14" i="4"/>
  <c r="AE14" i="4"/>
  <c r="AL14" i="4"/>
  <c r="AK14" i="4"/>
  <c r="AI14" i="4"/>
  <c r="AI37" i="4"/>
  <c r="AO37" i="4"/>
  <c r="AG37" i="4"/>
  <c r="AN37" i="4"/>
  <c r="AF37" i="4"/>
  <c r="AM37" i="4"/>
  <c r="AE37" i="4"/>
  <c r="AL37" i="4"/>
  <c r="AK37" i="4"/>
  <c r="X17" i="8"/>
  <c r="Y17" i="8" s="1"/>
  <c r="Z17" i="8" s="1"/>
  <c r="X27" i="8"/>
  <c r="Y27" i="8" s="1"/>
  <c r="Z27" i="8" s="1"/>
  <c r="X29" i="8"/>
  <c r="Y29" i="8" s="1"/>
  <c r="Z29" i="8" s="1"/>
  <c r="X31" i="8"/>
  <c r="Y31" i="8" s="1"/>
  <c r="Z31" i="8" s="1"/>
  <c r="AH27" i="4" l="1"/>
  <c r="AH51" i="4"/>
  <c r="AJ36" i="4"/>
  <c r="AJ22" i="4"/>
  <c r="AH52" i="4"/>
  <c r="AJ9" i="4"/>
  <c r="AJ17" i="4"/>
  <c r="AH34" i="4"/>
  <c r="AH11" i="4"/>
  <c r="AJ37" i="2"/>
  <c r="AH54" i="4"/>
  <c r="AH7" i="4"/>
  <c r="AH50" i="2"/>
  <c r="AH30" i="4"/>
  <c r="AJ15" i="2"/>
  <c r="AH42" i="2"/>
  <c r="AP42" i="2" s="1"/>
  <c r="AJ14" i="4"/>
  <c r="AH34" i="2"/>
  <c r="AH32" i="4"/>
  <c r="AH23" i="4"/>
  <c r="AH36" i="4"/>
  <c r="AH40" i="2"/>
  <c r="AP40" i="2" s="1"/>
  <c r="AH37" i="4"/>
  <c r="AJ28" i="4"/>
  <c r="AH30" i="2"/>
  <c r="AJ7" i="4"/>
  <c r="AJ26" i="4"/>
  <c r="AH27" i="2"/>
  <c r="AH52" i="2"/>
  <c r="AH41" i="4"/>
  <c r="AH48" i="4"/>
  <c r="AJ30" i="4"/>
  <c r="AH13" i="4"/>
  <c r="AH26" i="4"/>
  <c r="AH46" i="4"/>
  <c r="AJ55" i="4"/>
  <c r="AH29" i="2"/>
  <c r="AJ37" i="4"/>
  <c r="AJ41" i="4"/>
  <c r="AH48" i="2"/>
  <c r="AH33" i="4"/>
  <c r="AJ47" i="4"/>
  <c r="AH39" i="4"/>
  <c r="AH18" i="5"/>
  <c r="AH21" i="2"/>
  <c r="AH22" i="4"/>
  <c r="AJ32" i="4"/>
  <c r="AJ12" i="2"/>
  <c r="AP12" i="2" s="1"/>
  <c r="AJ16" i="2"/>
  <c r="AH21" i="4"/>
  <c r="AJ43" i="4"/>
  <c r="AJ8" i="4"/>
  <c r="AJ17" i="2"/>
  <c r="AH41" i="2"/>
  <c r="AH32" i="2"/>
  <c r="AJ51" i="4"/>
  <c r="AH4" i="2"/>
  <c r="AJ23" i="4"/>
  <c r="AH28" i="4"/>
  <c r="AJ18" i="2"/>
  <c r="AJ16" i="4"/>
  <c r="AJ20" i="2"/>
  <c r="AH43" i="4"/>
  <c r="AH45" i="2"/>
  <c r="AH16" i="4"/>
  <c r="AJ13" i="2"/>
  <c r="AH31" i="2"/>
  <c r="AH44" i="2"/>
  <c r="AH22" i="2"/>
  <c r="AH47" i="2"/>
  <c r="AP47" i="2" s="1"/>
  <c r="AH55" i="4"/>
  <c r="AH50" i="4"/>
  <c r="AJ34" i="4"/>
  <c r="AJ14" i="2"/>
  <c r="AJ48" i="4"/>
  <c r="AH37" i="2"/>
  <c r="AJ11" i="4"/>
  <c r="AJ6" i="4"/>
  <c r="AH20" i="4"/>
  <c r="AJ27" i="4"/>
  <c r="AH35" i="2"/>
  <c r="AH19" i="2"/>
  <c r="AJ19" i="2"/>
  <c r="AH51" i="2"/>
  <c r="AJ10" i="2"/>
  <c r="AH25" i="2"/>
  <c r="AP25" i="2" s="1"/>
  <c r="AH28" i="2"/>
  <c r="AO27" i="8"/>
  <c r="AG27" i="8"/>
  <c r="AN27" i="8"/>
  <c r="AF27" i="8"/>
  <c r="AL27" i="8"/>
  <c r="AI27" i="8"/>
  <c r="AE27" i="8"/>
  <c r="AM27" i="8"/>
  <c r="AK27" i="8"/>
  <c r="E14" i="1"/>
  <c r="AO24" i="8"/>
  <c r="AG24" i="8"/>
  <c r="AN24" i="8"/>
  <c r="AF24" i="8"/>
  <c r="AL24" i="8"/>
  <c r="AM24" i="8"/>
  <c r="AK24" i="8"/>
  <c r="AI24" i="8"/>
  <c r="AE24" i="8"/>
  <c r="AO31" i="8"/>
  <c r="AG31" i="8"/>
  <c r="AN31" i="8"/>
  <c r="AF31" i="8"/>
  <c r="AL31" i="8"/>
  <c r="AM31" i="8"/>
  <c r="AK31" i="8"/>
  <c r="AI31" i="8"/>
  <c r="AE31" i="8"/>
  <c r="AH31" i="8" s="1"/>
  <c r="AO21" i="8"/>
  <c r="AG21" i="8"/>
  <c r="AN21" i="8"/>
  <c r="AF21" i="8"/>
  <c r="AL21" i="8"/>
  <c r="AE21" i="8"/>
  <c r="AM21" i="8"/>
  <c r="AK21" i="8"/>
  <c r="AI21" i="8"/>
  <c r="AO16" i="8"/>
  <c r="AG16" i="8"/>
  <c r="AN16" i="8"/>
  <c r="AF16" i="8"/>
  <c r="AL16" i="8"/>
  <c r="AM16" i="8"/>
  <c r="AK16" i="8"/>
  <c r="AI16" i="8"/>
  <c r="AE16" i="8"/>
  <c r="AO6" i="8"/>
  <c r="AG6" i="8"/>
  <c r="AN6" i="8"/>
  <c r="AF6" i="8"/>
  <c r="AL6" i="8"/>
  <c r="AM6" i="8"/>
  <c r="AK6" i="8"/>
  <c r="AI6" i="8"/>
  <c r="AE6" i="8"/>
  <c r="AO22" i="8"/>
  <c r="AG22" i="8"/>
  <c r="AN22" i="8"/>
  <c r="AF22" i="8"/>
  <c r="AL22" i="8"/>
  <c r="AM22" i="8"/>
  <c r="AK22" i="8"/>
  <c r="AI22" i="8"/>
  <c r="AE22" i="8"/>
  <c r="AO15" i="8"/>
  <c r="AG15" i="8"/>
  <c r="AN15" i="8"/>
  <c r="AF15" i="8"/>
  <c r="AL15" i="8"/>
  <c r="AM15" i="8"/>
  <c r="AK15" i="8"/>
  <c r="AI15" i="8"/>
  <c r="AE15" i="8"/>
  <c r="AO32" i="8"/>
  <c r="AG32" i="8"/>
  <c r="AN32" i="8"/>
  <c r="AF32" i="8"/>
  <c r="AL32" i="8"/>
  <c r="AM32" i="8"/>
  <c r="AK32" i="8"/>
  <c r="AI32" i="8"/>
  <c r="AE32" i="8"/>
  <c r="AO20" i="8"/>
  <c r="AG20" i="8"/>
  <c r="AN20" i="8"/>
  <c r="AF20" i="8"/>
  <c r="AL20" i="8"/>
  <c r="AI20" i="8"/>
  <c r="AE20" i="8"/>
  <c r="AM20" i="8"/>
  <c r="AK20" i="8"/>
  <c r="AO12" i="8"/>
  <c r="AG12" i="8"/>
  <c r="AN12" i="8"/>
  <c r="AF12" i="8"/>
  <c r="AH12" i="8" s="1"/>
  <c r="AL12" i="8"/>
  <c r="AI12" i="8"/>
  <c r="AE12" i="8"/>
  <c r="AM12" i="8"/>
  <c r="AK12" i="8"/>
  <c r="AO13" i="8"/>
  <c r="AG13" i="8"/>
  <c r="AN13" i="8"/>
  <c r="AF13" i="8"/>
  <c r="AL13" i="8"/>
  <c r="AE13" i="8"/>
  <c r="AM13" i="8"/>
  <c r="AK13" i="8"/>
  <c r="AI13" i="8"/>
  <c r="AO7" i="8"/>
  <c r="AG7" i="8"/>
  <c r="AN7" i="8"/>
  <c r="AF7" i="8"/>
  <c r="AL7" i="8"/>
  <c r="AM7" i="8"/>
  <c r="AK7" i="8"/>
  <c r="AI7" i="8"/>
  <c r="AE7" i="8"/>
  <c r="AO30" i="8"/>
  <c r="AG30" i="8"/>
  <c r="AN30" i="8"/>
  <c r="AF30" i="8"/>
  <c r="AL30" i="8"/>
  <c r="AM30" i="8"/>
  <c r="AK30" i="8"/>
  <c r="AI30" i="8"/>
  <c r="AE30" i="8"/>
  <c r="AO25" i="8"/>
  <c r="AG25" i="8"/>
  <c r="AN25" i="8"/>
  <c r="AF25" i="8"/>
  <c r="AL25" i="8"/>
  <c r="AM25" i="8"/>
  <c r="AK25" i="8"/>
  <c r="AI25" i="8"/>
  <c r="AE25" i="8"/>
  <c r="AO10" i="8"/>
  <c r="AG10" i="8"/>
  <c r="AN10" i="8"/>
  <c r="AF10" i="8"/>
  <c r="AL10" i="8"/>
  <c r="AK10" i="8"/>
  <c r="AI10" i="8"/>
  <c r="AE10" i="8"/>
  <c r="AM10" i="8"/>
  <c r="AO11" i="8"/>
  <c r="AG11" i="8"/>
  <c r="AN11" i="8"/>
  <c r="AF11" i="8"/>
  <c r="AL11" i="8"/>
  <c r="AI11" i="8"/>
  <c r="AE11" i="8"/>
  <c r="AM11" i="8"/>
  <c r="AK11" i="8"/>
  <c r="AO28" i="8"/>
  <c r="AG28" i="8"/>
  <c r="AN28" i="8"/>
  <c r="AF28" i="8"/>
  <c r="AL28" i="8"/>
  <c r="AI28" i="8"/>
  <c r="AE28" i="8"/>
  <c r="AM28" i="8"/>
  <c r="AK28" i="8"/>
  <c r="AO29" i="8"/>
  <c r="AG29" i="8"/>
  <c r="AN29" i="8"/>
  <c r="AF29" i="8"/>
  <c r="AL29" i="8"/>
  <c r="AE29" i="8"/>
  <c r="AM29" i="8"/>
  <c r="AK29" i="8"/>
  <c r="AI29" i="8"/>
  <c r="AP30" i="2"/>
  <c r="AJ35" i="2"/>
  <c r="AP35" i="2" s="1"/>
  <c r="AP52" i="2"/>
  <c r="AP24" i="2"/>
  <c r="AP17" i="2"/>
  <c r="Y53" i="2"/>
  <c r="Z3" i="2"/>
  <c r="G9" i="1"/>
  <c r="AJ33" i="4"/>
  <c r="AP50" i="2"/>
  <c r="AH10" i="2"/>
  <c r="AO9" i="8"/>
  <c r="AG9" i="8"/>
  <c r="AN9" i="8"/>
  <c r="AF9" i="8"/>
  <c r="AL9" i="8"/>
  <c r="AM9" i="8"/>
  <c r="AK9" i="8"/>
  <c r="AI9" i="8"/>
  <c r="AE9" i="8"/>
  <c r="AH14" i="4"/>
  <c r="AJ48" i="2"/>
  <c r="AH6" i="4"/>
  <c r="AH20" i="2"/>
  <c r="AP20" i="2" s="1"/>
  <c r="AJ41" i="2"/>
  <c r="AP41" i="2" s="1"/>
  <c r="AJ39" i="4"/>
  <c r="AJ31" i="2"/>
  <c r="AO8" i="8"/>
  <c r="AG8" i="8"/>
  <c r="AN8" i="8"/>
  <c r="AF8" i="8"/>
  <c r="AL8" i="8"/>
  <c r="AM8" i="8"/>
  <c r="AK8" i="8"/>
  <c r="AI8" i="8"/>
  <c r="AE8" i="8"/>
  <c r="AO18" i="8"/>
  <c r="AG18" i="8"/>
  <c r="AN18" i="8"/>
  <c r="AF18" i="8"/>
  <c r="AL18" i="8"/>
  <c r="AK18" i="8"/>
  <c r="AI18" i="8"/>
  <c r="AE18" i="8"/>
  <c r="AM18" i="8"/>
  <c r="AO14" i="8"/>
  <c r="AG14" i="8"/>
  <c r="AN14" i="8"/>
  <c r="AF14" i="8"/>
  <c r="AL14" i="8"/>
  <c r="AM14" i="8"/>
  <c r="AK14" i="8"/>
  <c r="AI14" i="8"/>
  <c r="AE14" i="8"/>
  <c r="E5" i="9"/>
  <c r="F5" i="9" s="1"/>
  <c r="AH38" i="2"/>
  <c r="AP38" i="2" s="1"/>
  <c r="AH47" i="4"/>
  <c r="E6" i="9"/>
  <c r="F6" i="9" s="1"/>
  <c r="AP37" i="2"/>
  <c r="AP23" i="2"/>
  <c r="AP13" i="2"/>
  <c r="AJ46" i="4"/>
  <c r="AP51" i="2"/>
  <c r="AH7" i="2"/>
  <c r="AP44" i="2"/>
  <c r="AH36" i="2"/>
  <c r="AO26" i="8"/>
  <c r="AG26" i="8"/>
  <c r="AN26" i="8"/>
  <c r="AF26" i="8"/>
  <c r="AL26" i="8"/>
  <c r="AK26" i="8"/>
  <c r="AI26" i="8"/>
  <c r="AE26" i="8"/>
  <c r="AM26" i="8"/>
  <c r="AP27" i="2"/>
  <c r="AP14" i="2"/>
  <c r="AP16" i="2"/>
  <c r="AH26" i="2"/>
  <c r="AP26" i="2" s="1"/>
  <c r="AO5" i="8"/>
  <c r="AG5" i="8"/>
  <c r="AN5" i="8"/>
  <c r="AF5" i="8"/>
  <c r="AL5" i="8"/>
  <c r="AE5" i="8"/>
  <c r="AM5" i="8"/>
  <c r="AK5" i="8"/>
  <c r="AI5" i="8"/>
  <c r="AH8" i="4"/>
  <c r="AP15" i="2"/>
  <c r="AJ45" i="2"/>
  <c r="AP46" i="2"/>
  <c r="AP4" i="2"/>
  <c r="AH33" i="2"/>
  <c r="AO23" i="8"/>
  <c r="AG23" i="8"/>
  <c r="AN23" i="8"/>
  <c r="AF23" i="8"/>
  <c r="AL23" i="8"/>
  <c r="AM23" i="8"/>
  <c r="AK23" i="8"/>
  <c r="AI23" i="8"/>
  <c r="AE23" i="8"/>
  <c r="AJ8" i="2"/>
  <c r="AO17" i="8"/>
  <c r="AG17" i="8"/>
  <c r="AN17" i="8"/>
  <c r="AF17" i="8"/>
  <c r="AL17" i="8"/>
  <c r="AM17" i="8"/>
  <c r="AK17" i="8"/>
  <c r="AI17" i="8"/>
  <c r="AE17" i="8"/>
  <c r="Y56" i="4"/>
  <c r="G10" i="1" s="1"/>
  <c r="H10" i="1" s="1"/>
  <c r="Z3" i="4"/>
  <c r="AO19" i="8"/>
  <c r="AG19" i="8"/>
  <c r="AN19" i="8"/>
  <c r="AF19" i="8"/>
  <c r="AL19" i="8"/>
  <c r="AI19" i="8"/>
  <c r="AE19" i="8"/>
  <c r="AM19" i="8"/>
  <c r="AK19" i="8"/>
  <c r="X33" i="8"/>
  <c r="F12" i="1"/>
  <c r="F14" i="1" s="1"/>
  <c r="AJ11" i="2"/>
  <c r="AP11" i="2" s="1"/>
  <c r="AJ13" i="4"/>
  <c r="AP29" i="2"/>
  <c r="AJ43" i="2"/>
  <c r="AJ5" i="2"/>
  <c r="AP5" i="2" s="1"/>
  <c r="AJ34" i="2"/>
  <c r="AP34" i="2" s="1"/>
  <c r="AJ36" i="2"/>
  <c r="AH39" i="2"/>
  <c r="AP39" i="2" s="1"/>
  <c r="AO4" i="8"/>
  <c r="AG4" i="8"/>
  <c r="AN4" i="8"/>
  <c r="AF4" i="8"/>
  <c r="AL4" i="8"/>
  <c r="AI4" i="8"/>
  <c r="AE4" i="8"/>
  <c r="AM4" i="8"/>
  <c r="AK4" i="8"/>
  <c r="AP10" i="2"/>
  <c r="AP21" i="2"/>
  <c r="AP18" i="2"/>
  <c r="Y3" i="8"/>
  <c r="AJ32" i="2"/>
  <c r="AP32" i="2" s="1"/>
  <c r="AH8" i="2"/>
  <c r="AP8" i="2" s="1"/>
  <c r="AP19" i="2"/>
  <c r="AH43" i="2"/>
  <c r="AJ7" i="2"/>
  <c r="AJ49" i="2"/>
  <c r="AP49" i="2" s="1"/>
  <c r="AP22" i="2"/>
  <c r="AH9" i="2"/>
  <c r="AP9" i="2" s="1"/>
  <c r="AJ33" i="2"/>
  <c r="AJ28" i="2"/>
  <c r="AP28" i="2" s="1"/>
  <c r="AH6" i="2"/>
  <c r="AP6" i="2" s="1"/>
  <c r="AP45" i="2" l="1"/>
  <c r="AP48" i="2"/>
  <c r="AH32" i="8"/>
  <c r="AJ6" i="8"/>
  <c r="AJ31" i="8"/>
  <c r="AP31" i="2"/>
  <c r="AH29" i="8"/>
  <c r="AJ4" i="8"/>
  <c r="AH11" i="8"/>
  <c r="AH10" i="8"/>
  <c r="AJ13" i="8"/>
  <c r="AH20" i="8"/>
  <c r="AH24" i="8"/>
  <c r="AH5" i="8"/>
  <c r="AJ26" i="8"/>
  <c r="AH8" i="8"/>
  <c r="AJ11" i="8"/>
  <c r="AH15" i="8"/>
  <c r="AH21" i="8"/>
  <c r="AH17" i="8"/>
  <c r="AH14" i="8"/>
  <c r="AJ28" i="8"/>
  <c r="AH7" i="8"/>
  <c r="AH6" i="8"/>
  <c r="AH26" i="8"/>
  <c r="AP36" i="2"/>
  <c r="AJ30" i="8"/>
  <c r="AH16" i="8"/>
  <c r="AJ19" i="8"/>
  <c r="AH23" i="8"/>
  <c r="AH18" i="8"/>
  <c r="AH9" i="8"/>
  <c r="AJ20" i="8"/>
  <c r="AH27" i="8"/>
  <c r="AP33" i="2"/>
  <c r="AP7" i="2"/>
  <c r="AJ29" i="8"/>
  <c r="AH25" i="8"/>
  <c r="AJ27" i="8"/>
  <c r="AP43" i="2"/>
  <c r="AH4" i="8"/>
  <c r="AH28" i="8"/>
  <c r="AH30" i="8"/>
  <c r="AH13" i="8"/>
  <c r="AJ12" i="8"/>
  <c r="AH22" i="8"/>
  <c r="AJ17" i="8"/>
  <c r="AJ5" i="8"/>
  <c r="AJ18" i="8"/>
  <c r="AJ9" i="8"/>
  <c r="AJ10" i="8"/>
  <c r="AJ7" i="8"/>
  <c r="AJ16" i="8"/>
  <c r="AJ24" i="8"/>
  <c r="AJ15" i="8"/>
  <c r="AJ8" i="8"/>
  <c r="AJ25" i="8"/>
  <c r="AJ22" i="8"/>
  <c r="AJ21" i="8"/>
  <c r="Z53" i="2"/>
  <c r="AK3" i="2"/>
  <c r="AI3" i="2"/>
  <c r="AL3" i="2"/>
  <c r="AO3" i="2"/>
  <c r="AG3" i="2"/>
  <c r="AN3" i="2"/>
  <c r="AF3" i="2"/>
  <c r="AF53" i="2" s="1"/>
  <c r="AM3" i="2"/>
  <c r="AE3" i="2"/>
  <c r="Z3" i="8"/>
  <c r="Y33" i="8"/>
  <c r="G12" i="1"/>
  <c r="H12" i="1" s="1"/>
  <c r="AH19" i="8"/>
  <c r="Z56" i="4"/>
  <c r="AN3" i="4"/>
  <c r="AF3" i="4"/>
  <c r="AM3" i="4"/>
  <c r="AE3" i="4"/>
  <c r="AL3" i="4"/>
  <c r="AK3" i="4"/>
  <c r="AI3" i="4"/>
  <c r="AO3" i="4"/>
  <c r="AG3" i="4"/>
  <c r="AJ23" i="8"/>
  <c r="AJ14" i="8"/>
  <c r="AJ32" i="8"/>
  <c r="H9" i="1"/>
  <c r="AJ3" i="2" l="1"/>
  <c r="H14" i="1"/>
  <c r="G14" i="1"/>
  <c r="AH3" i="4"/>
  <c r="AN53" i="2"/>
  <c r="AM53" i="2"/>
  <c r="AL53" i="2"/>
  <c r="AK53" i="2"/>
  <c r="AJ53" i="2"/>
  <c r="AI53" i="2"/>
  <c r="AO53" i="2"/>
  <c r="AG53" i="2"/>
  <c r="AN56" i="4"/>
  <c r="AM56" i="4"/>
  <c r="AL56" i="4"/>
  <c r="AK56" i="4"/>
  <c r="AJ56" i="4"/>
  <c r="AI56" i="4"/>
  <c r="AG56" i="4"/>
  <c r="AO56" i="4"/>
  <c r="AJ3" i="4"/>
  <c r="AH3" i="2"/>
  <c r="AP3" i="2" s="1"/>
  <c r="AO3" i="8"/>
  <c r="AG3" i="8"/>
  <c r="AN3" i="8"/>
  <c r="AF3" i="8"/>
  <c r="Z33" i="8"/>
  <c r="AL3" i="8"/>
  <c r="AI3" i="8"/>
  <c r="AE3" i="8"/>
  <c r="AM3" i="8"/>
  <c r="AK3" i="8"/>
  <c r="AE53" i="2"/>
  <c r="AH56" i="4" l="1"/>
  <c r="AJ3" i="8"/>
  <c r="AH53" i="2"/>
  <c r="AH3" i="8"/>
  <c r="AJ33" i="8"/>
  <c r="AI33" i="8"/>
  <c r="AN33" i="8"/>
  <c r="AO33" i="8"/>
  <c r="AM33" i="8"/>
  <c r="AL33" i="8"/>
  <c r="AK33" i="8"/>
  <c r="AG33" i="8"/>
  <c r="AH33" i="8" l="1"/>
</calcChain>
</file>

<file path=xl/sharedStrings.xml><?xml version="1.0" encoding="utf-8"?>
<sst xmlns="http://schemas.openxmlformats.org/spreadsheetml/2006/main" count="1047" uniqueCount="473">
  <si>
    <t>Most-likely</t>
  </si>
  <si>
    <t>Face value</t>
  </si>
  <si>
    <t>Optimistic</t>
  </si>
  <si>
    <t>Might take lesser effort</t>
  </si>
  <si>
    <t>Pessimistic</t>
  </si>
  <si>
    <t>Might take more effort</t>
  </si>
  <si>
    <t>Calculated Man-Days</t>
  </si>
  <si>
    <t>Calibrated estimate</t>
  </si>
  <si>
    <t>MAN-DAYS</t>
  </si>
  <si>
    <t># of Epics</t>
  </si>
  <si>
    <t>Product</t>
  </si>
  <si>
    <t>Most-likely Man-days</t>
  </si>
  <si>
    <t>TK Approved</t>
  </si>
  <si>
    <t>OmniConnect</t>
  </si>
  <si>
    <t>Fintech Fuel</t>
  </si>
  <si>
    <t>OmniChat</t>
  </si>
  <si>
    <t>Digital Log</t>
  </si>
  <si>
    <t>Support (3 person)</t>
  </si>
  <si>
    <t>Total</t>
  </si>
  <si>
    <t>OmniConnect Roadmap Items</t>
  </si>
  <si>
    <t>BHW</t>
  </si>
  <si>
    <t>TK</t>
  </si>
  <si>
    <t>AA</t>
  </si>
  <si>
    <t>TS</t>
  </si>
  <si>
    <t>RnD Most likely</t>
  </si>
  <si>
    <t>TK Budgeted</t>
  </si>
  <si>
    <t>`=($Y3-($M3+$T3+$Q3)) * (SUBSTITUTE(MID(AH$2, SEARCH("(", AH$2) + 1, 5), "%)", "") / 100)</t>
  </si>
  <si>
    <t>Sr #</t>
  </si>
  <si>
    <t>Category</t>
  </si>
  <si>
    <t>Components</t>
  </si>
  <si>
    <t>Road Map Items</t>
  </si>
  <si>
    <t>Jira ID</t>
  </si>
  <si>
    <t>Originator</t>
  </si>
  <si>
    <t>Value</t>
  </si>
  <si>
    <t>Priority</t>
  </si>
  <si>
    <t>Plan Status</t>
  </si>
  <si>
    <t>Prc Design</t>
  </si>
  <si>
    <t>R/URS</t>
  </si>
  <si>
    <t>R/DDS</t>
  </si>
  <si>
    <t>Dev</t>
  </si>
  <si>
    <t>SQA</t>
  </si>
  <si>
    <t>Prc Test</t>
  </si>
  <si>
    <t>Doc</t>
  </si>
  <si>
    <t>Reg SQA</t>
  </si>
  <si>
    <t>Release</t>
  </si>
  <si>
    <t>Man Days</t>
  </si>
  <si>
    <t>Pessimistic (10%)</t>
  </si>
  <si>
    <t>Est Formula</t>
  </si>
  <si>
    <t>TK's TARGET</t>
  </si>
  <si>
    <t>Start Date</t>
  </si>
  <si>
    <t>Dev End</t>
  </si>
  <si>
    <t>SQA HO</t>
  </si>
  <si>
    <t>Prod Date</t>
  </si>
  <si>
    <t>R/URS (5%)</t>
  </si>
  <si>
    <t>R/DDS (10%)</t>
  </si>
  <si>
    <t>Dev (40%)</t>
  </si>
  <si>
    <t>Handover</t>
  </si>
  <si>
    <t>SQA (15%)</t>
  </si>
  <si>
    <t>Bug Fixing (15%)</t>
  </si>
  <si>
    <t>Doc (5%)</t>
  </si>
  <si>
    <t>Reg SQA (10%)</t>
  </si>
  <si>
    <t>Input</t>
  </si>
  <si>
    <t>Streaming</t>
  </si>
  <si>
    <t>OC Streaming (80% done)</t>
  </si>
  <si>
    <t>https://octopusdtlsupport.atlassian.net/browse/O2-793</t>
  </si>
  <si>
    <t>RnD</t>
  </si>
  <si>
    <t>Plan</t>
  </si>
  <si>
    <t xml:space="preserve">OC streaming on Pub Sub </t>
  </si>
  <si>
    <t>Imp Team</t>
  </si>
  <si>
    <t>UnPlan</t>
  </si>
  <si>
    <t>Bulk Device creation</t>
  </si>
  <si>
    <t>BULK DEVICE CREATION FOR NON SMART DEVICES (on hold, no further thought process undertaken)
Current feature is to bulk create MQTT/IOT devices which has ability to directly connect to Azure IOT hub as an independent devices.
It does not cover the schenario where multiple non smart devices are connected to one gateway from where the data is send to cloud.
Now need is to replicate such non smart devices (connected to gateway) on OC as logical devices.</t>
  </si>
  <si>
    <t>Management</t>
  </si>
  <si>
    <t>Import Site Layout</t>
  </si>
  <si>
    <t>Import Site Layout catchup till date</t>
  </si>
  <si>
    <t>Scheduled Pull</t>
  </si>
  <si>
    <t>Support for Wide tables from SQL Source</t>
  </si>
  <si>
    <t>https://octopusdtlsupport.atlassian.net/browse/O2-2188</t>
  </si>
  <si>
    <t>Need to understand this</t>
  </si>
  <si>
    <t>Support for Wide tables from API Source</t>
  </si>
  <si>
    <t>https://octopusdtlsupport.atlassian.net/browse/O2-2189</t>
  </si>
  <si>
    <t>Support for Wide tables from SFTP Source</t>
  </si>
  <si>
    <t>https://octopusdtlsupport.atlassian.net/browse/O2-2190</t>
  </si>
  <si>
    <t>OmniEdge diagnostics metrics collection</t>
  </si>
  <si>
    <t>https://octopusdtlsupport.atlassian.net/browse/O2-2269</t>
  </si>
  <si>
    <t>Enrichment</t>
  </si>
  <si>
    <t>APX</t>
  </si>
  <si>
    <t>APX - WhatIf Pump</t>
  </si>
  <si>
    <t>Process Team</t>
  </si>
  <si>
    <t>APX - WhatIf Compressor</t>
  </si>
  <si>
    <t>APX - WhatIf Condenser</t>
  </si>
  <si>
    <t>APX - WhatIf Heat Exchanger</t>
  </si>
  <si>
    <t>APX - WhatIf Boiler</t>
  </si>
  <si>
    <t>APX - Health Pump</t>
  </si>
  <si>
    <t>APX - Health Compressor</t>
  </si>
  <si>
    <t>APX - Health Motor</t>
  </si>
  <si>
    <t>DEV - WhatIf Visual Screens (Pump, Comp,Cond,Hex, Boiler) II</t>
  </si>
  <si>
    <t>https://octopusdtlsupport.atlassian.net/browse/O2-1991</t>
  </si>
  <si>
    <t>DEV - Tempate Tool Enhancement for WhatIf and Health</t>
  </si>
  <si>
    <t>https://octopusdtlsupport.atlassian.net/browse/O2-2186</t>
  </si>
  <si>
    <t>DEV - Performance Module Enhancements (Results in OC )</t>
  </si>
  <si>
    <t>APX - Demos</t>
  </si>
  <si>
    <t>1+</t>
  </si>
  <si>
    <t>Batch / BPM</t>
  </si>
  <si>
    <t>IT/OT Conversion Batch/BPM (on hold)</t>
  </si>
  <si>
    <t>-</t>
  </si>
  <si>
    <t>Support for SQL Language in Batch/BPM(Features Supported by adx) (Discussion Required)</t>
  </si>
  <si>
    <t>"Create Asset from Template" Add BPM support (Discussion Required)</t>
  </si>
  <si>
    <t>Faster Impl</t>
  </si>
  <si>
    <t>Enterprise connectors</t>
  </si>
  <si>
    <t>Enterprise Connectors Pipeline OnDemand Trigger</t>
  </si>
  <si>
    <t>In the meantime we should document the process of achieving that as project implementation</t>
  </si>
  <si>
    <t>IT/OT Conversion for Enterprise Connectors (on hold)</t>
  </si>
  <si>
    <t>Calculated Tags Enhancement</t>
  </si>
  <si>
    <t>Nesting of Counter, Timer, Totalizer</t>
  </si>
  <si>
    <t>https://octopusdtlsupport.atlassian.net/browse/O2-697</t>
  </si>
  <si>
    <t>Thought it was already done</t>
  </si>
  <si>
    <t>Anomaly Detection Engine (ADE)</t>
  </si>
  <si>
    <t>ADE for Batch/BPM IT Data (Discussion Requried)</t>
  </si>
  <si>
    <t>ADE for Enterprise Connectors IT Data (Discussion Required)</t>
  </si>
  <si>
    <t>Alarm</t>
  </si>
  <si>
    <t>Alarms for Batch IT Data</t>
  </si>
  <si>
    <t xml:space="preserve">https://octopusdtlsupport.atlassian.net/browse/O2-2277 </t>
  </si>
  <si>
    <t>Alarms for BPM IT Data</t>
  </si>
  <si>
    <t>https://octopusdtlsupport.atlassian.net/browse/O2-2278</t>
  </si>
  <si>
    <t>Alarms for Enterprise Connectors IT Data SQL</t>
  </si>
  <si>
    <t>https://octopusdtlsupport.atlassian.net/browse/O2-2279</t>
  </si>
  <si>
    <t>Alarms for Enterprise Connectors IT Data Rest API</t>
  </si>
  <si>
    <t>https://octopusdtlsupport.atlassian.net/browse/O2-2280</t>
  </si>
  <si>
    <t>Alarms for Enterprise Connectors IT Data SFTP</t>
  </si>
  <si>
    <t>https://octopusdtlsupport.atlassian.net/browse/O2-2296</t>
  </si>
  <si>
    <t>Alarms for Enterprise Connectors IT Data SAP</t>
  </si>
  <si>
    <t>https://octopusdtlsupport.atlassian.net/browse/O2-2321</t>
  </si>
  <si>
    <t>Diagnostics</t>
  </si>
  <si>
    <t>ML based Tier 4 Diagnostics (Landing Pattern based alerts)</t>
  </si>
  <si>
    <t>OmniOEE</t>
  </si>
  <si>
    <t>OmniOEE Phase 1 - Batch/BPM Std Compute Module (Curated, Library-stored)</t>
  </si>
  <si>
    <t>Need to understand it. Also we should be able to document this and do it as project</t>
  </si>
  <si>
    <t>OmniOEE Phase 2 – Full OEE System (Production Planning, Configuration, Data, Visualizations)</t>
  </si>
  <si>
    <t>OmniALA</t>
  </si>
  <si>
    <t>Aux Load Advisor</t>
  </si>
  <si>
    <t>Document and make it sound as a product till we get an order</t>
  </si>
  <si>
    <t>ML</t>
  </si>
  <si>
    <t>Pattern Recognition</t>
  </si>
  <si>
    <t>This should be very easy to implement using AI coding assistance</t>
  </si>
  <si>
    <t>Forcasting</t>
  </si>
  <si>
    <t>Output</t>
  </si>
  <si>
    <t>OmniAgent</t>
  </si>
  <si>
    <t>Multi Agent Support</t>
  </si>
  <si>
    <t>What is this?</t>
  </si>
  <si>
    <t xml:space="preserve">ADE to AutoPrompt to OmniAgent to RCA/Advice </t>
  </si>
  <si>
    <t>Trending</t>
  </si>
  <si>
    <t>OC Trending V2</t>
  </si>
  <si>
    <t>https://octopusdtlsupport.atlassian.net/browse/O2-456</t>
  </si>
  <si>
    <t>Imp Team, Process Team</t>
  </si>
  <si>
    <t>Audit Trail</t>
  </si>
  <si>
    <t>Competitive</t>
  </si>
  <si>
    <t>UI UX</t>
  </si>
  <si>
    <t xml:space="preserve">Revamped UI </t>
  </si>
  <si>
    <t>Unified Notification Engine</t>
  </si>
  <si>
    <t>https://octopusdtlsupport.atlassian.net/browse/O2-36</t>
  </si>
  <si>
    <t>Export to SQL</t>
  </si>
  <si>
    <t>Export to SQL Enhancement</t>
  </si>
  <si>
    <t>https://octopusdtlsupport.atlassian.net/browse/O2-1976</t>
  </si>
  <si>
    <t>Administration</t>
  </si>
  <si>
    <t>Subscription Management</t>
  </si>
  <si>
    <t>Pricing Module</t>
  </si>
  <si>
    <t>DRP</t>
  </si>
  <si>
    <t>Redundancy in Blob Storage</t>
  </si>
  <si>
    <t>Why is this needed?</t>
  </si>
  <si>
    <t>Man days</t>
  </si>
  <si>
    <t>Most likely</t>
  </si>
  <si>
    <t>Fintech Fuel Roadmap Items</t>
  </si>
  <si>
    <t>JIRA ID</t>
  </si>
  <si>
    <t>Alsons</t>
  </si>
  <si>
    <t>Alsons Connectivity for Reading (done) (6h)</t>
  </si>
  <si>
    <t>PGL</t>
  </si>
  <si>
    <t>Alsons Data Compatibility POC with FintechFuel - (41h)</t>
  </si>
  <si>
    <t>Alsons Integration with FintechFuel</t>
  </si>
  <si>
    <t>Business Alarms</t>
  </si>
  <si>
    <t>Configurable alert thresholds and Recipients (done)</t>
  </si>
  <si>
    <t>Leak and theft alerts</t>
  </si>
  <si>
    <t>Theft detection (internal/external)</t>
  </si>
  <si>
    <t>Nozzle bypass detection</t>
  </si>
  <si>
    <t>Calibration drift alerts</t>
  </si>
  <si>
    <t>Sensor malfunction alerts</t>
  </si>
  <si>
    <t>Unauthorized dispensing alerts</t>
  </si>
  <si>
    <t>Power outage detection</t>
  </si>
  <si>
    <t>Alert escalation workflows</t>
  </si>
  <si>
    <t>Alert acknowledgment and resolution tracking</t>
  </si>
  <si>
    <t>Nozzle flow rate</t>
  </si>
  <si>
    <t>Under-Dispensing</t>
  </si>
  <si>
    <t>System Alarms</t>
  </si>
  <si>
    <t>Connectivity loss alerts (done)</t>
  </si>
  <si>
    <t>Pricing/profit optimization</t>
  </si>
  <si>
    <t>Predictive Maintenance</t>
  </si>
  <si>
    <t>Sudden Loss indicator</t>
  </si>
  <si>
    <t>URM</t>
  </si>
  <si>
    <t>User &amp; role management</t>
  </si>
  <si>
    <t>https://octopusdtlsupport.atlassian.net/browse/FF-541</t>
  </si>
  <si>
    <t>Configuration</t>
  </si>
  <si>
    <t>Station and tank configuration</t>
  </si>
  <si>
    <t>Product mapping</t>
  </si>
  <si>
    <t>Unit and currency settings</t>
  </si>
  <si>
    <t>*Would require a session with IA as well for showing data on dashboard of sites with different currencies
*Understanding session is required with PGL</t>
  </si>
  <si>
    <t>Audit</t>
  </si>
  <si>
    <t>Audit trails (phase 1) - User-management</t>
  </si>
  <si>
    <t>https://octopusdtlsupport.atlassian.net/browse/FF-446</t>
  </si>
  <si>
    <t>Audit trails (phase 2) - Module Interaction</t>
  </si>
  <si>
    <t>https://octopusdtlsupport.atlassian.net/browse/FF-512</t>
  </si>
  <si>
    <t>Audit trails (phase 3) - Activity Log</t>
  </si>
  <si>
    <t>https://octopusdtlsupport.atlassian.net/browse/FF-517</t>
  </si>
  <si>
    <t>OutPut</t>
  </si>
  <si>
    <t>Mobile</t>
  </si>
  <si>
    <t>Mobile View without Manual submit Data</t>
  </si>
  <si>
    <t>ReadAPI</t>
  </si>
  <si>
    <t>ReadAPI to pull data from FintechFuel - (21h)</t>
  </si>
  <si>
    <t>Write-Back</t>
  </si>
  <si>
    <t>Write-Back Price to stations - (10h)</t>
  </si>
  <si>
    <t>https://octopusdtlsupport.atlassian.net/browse/FF-302</t>
  </si>
  <si>
    <t>Notification</t>
  </si>
  <si>
    <t>Notification via Email /SMS</t>
  </si>
  <si>
    <t>Gen AI</t>
  </si>
  <si>
    <t>FuelChat - Summarized version</t>
  </si>
  <si>
    <t>https://octopusdtlsupport.atlassian.net/browse/FF-312</t>
  </si>
  <si>
    <t>Multi-language</t>
  </si>
  <si>
    <t>Support for multi language</t>
  </si>
  <si>
    <t>https://octopusdtlsupport.atlassian.net/browse/FF-498</t>
  </si>
  <si>
    <t>Support Tickets</t>
  </si>
  <si>
    <t>None</t>
  </si>
  <si>
    <t>TO CATEGORIZE YET</t>
  </si>
  <si>
    <t>System health monitoring(Site Diagnostic) - (12h)</t>
  </si>
  <si>
    <t>https://octopusdtlsupport.atlassian.net/browse/FF-274</t>
  </si>
  <si>
    <t>Calculate Tank delivery (Alsons device)</t>
  </si>
  <si>
    <t>https://octopusdtlsupport.atlassian.net/browse/FF-542</t>
  </si>
  <si>
    <t>Unified Platform &amp; Multi-Site Visibility (Consolidated view for all sites)
- The client wants a unified platform that provides information from all plant sites in one place.
- Key data points requested in the unified view include storage tank volume and timestamped deliveries.
- The solution must support network-scale visibility for hundreds of sites, not just a small pilot set.
- Different user levels, including management, leadership, supervisors, and operations teams, need different views of the same data.
- Visibility of sites, targets, and data should follow the assigned user hierarchy.</t>
  </si>
  <si>
    <t>Deliveries &amp; Delivery Identification
- Deliveries are already available with timestamps in Fintech Fuel.
- The client wants to distinguish PGL deliveries from non-PGL deliveries, with a clear classification such as PGL and Not PGL.
- At COCO sites, current deliveries are considered PGL deliveries.
- At DODO sites, the client needs a way to identify who decanted product into storage because multiple providers may use the same storage.
- The current level of control at DODO sites is weaker than at COCO sites, and the client wants better controls in Fintech Fuel.
- The Deliveries page should use the industry term Delivery Note instead of Bill of Lading.
- For imported products, a delivery note or lading reference should be captured on the UI.
- A lading reference is currently seen as a reference point only and not as a full control mechanism.
- The client wants this requirement captured as a KPI or future control area even if it is initially implemented as a wish-list item.
- The system should highlight cases where actual decanted quantity exceeds expected quantity.
- Manual delivery references alone are not sufficient to establish end-to-end control.</t>
  </si>
  <si>
    <t>Dashboard Enhancements
- Visual representations
- Sales vs target trend must be dynamic not just last 7 days
- Stock level must be dynamic not just last 7 days
- Remove minute-level filters
- Show time of fetched data on stock-level
- positive/negative variance with color coding</t>
  </si>
  <si>
    <t>Historical Comparison &amp; Trend Analysis
- Comparison of different metrices like sales vs deliveries etc.</t>
  </si>
  <si>
    <t>Reconciliation &amp; Variance Analysis
- Reconciliation is a key area for the client, especially to monitor external uplifting.
- The reconciliation report should help users see how frequently variation occurs over time.
- The client wants anomaly highlighting for variances above selected thresholds.
- The current tabulated Excel-like representation is difficult to consume and needs a better UI/UX treatment.
- The user wants a product-tile style interaction where clicking a product reveals its reconciliation details.
- There is currently no way to define a threshold value in the system; the client asked for configurable selected thresholds.
- The system should highlight anomalies at the time of reconciliation.
- The reconciliation workflow should support investigation into why a difference exists.
- Initial anomaly reasons should at least include data disconnectivity, whether due to internet issues or equipment malfunction.
- The reconciliation report must show consistent data and clearly reflect when a site is not transmitting data.
- If data is missing, the report should show an exclusion note so the variance can be interpreted correctly.
- The client suggested a rule such as flagging any site where no data transmission happens for 60 or more minutes.
- Capturing the anomaly event is considered the first priority; the detailed report presentation can be refined with users afterward.
- The report should include a summary table on top for the selected period with one row per product, instead of only date-by-date product entries.
- The user emphasized that reconciliation UI/UX quality is a possible road blocker.</t>
  </si>
  <si>
    <t>Data Accuracy, Connectivity &amp; Equipment Failure
- Data accuracy is a major concern for the client.
- Two primary failure scenarios were identified:
   -- Internet disconnectivity between the site and the cloud.
   -- Site hardware or controller malfunction.
- In internet disconnectivity scenarios, the controller device must accumulate data and transmit it once connectivity is restored.
- No data loss is acceptable when internet connectivity is interrupted.
- If the controller or site equipment is not working, the system must raise an alert.
- The client wants the system to inform users whether a site cannot reconcile because of internet disconnectivity or equipment malfunction.
- If equipment fails and data is not captured, the system must provide manual entry for lost site data.
- Manual entry is considered necessary to maintain 100% data accuracy and complete reconciliation.
- The client requested an admin-level tool for manual data entry when ATG or related equipment is down.
- The discussion referenced a practical case where if ATG is down for two hours, the system should allow offline or manual input.
- Offline input data is therefore a required feature.</t>
  </si>
  <si>
    <t>Alerts, Diagnostics &amp; Notifications
- Alerts should not remain isolated in one report; they should connect with diagnostics and related operational reports.
- Email notifications should be available for alerts.
- A diagnostics or connectivity view should show which sites are disconnected.
- Connectivity and equipment-down conditions should raise alerts.
- If a device fails to ping within a configured time period, the system should raise an alert if the controller supports that information.
- The client suggested using controller ping behavior as a simple basis for equipment-down alerting.
- Thresholds for alarms should be configurable.
- A 0.5% threshold was specifically mentioned in the discussion.</t>
  </si>
  <si>
    <t>Reporting, Terminology &amp; Units
- Nozzle-level sales are not clear to the client, partly because of the nomenclature used in the nozzle report.
- The transaction report does not clearly mention the unit of measure.
- The client wants units such as liters or currency to be visible consistently across the application.
- Report terminology and naming should be reviewed so reports are easier for the business to understand.
- The client asked the team to review nomenclature used in summarized and detailed reports.</t>
  </si>
  <si>
    <t>Loss/Gain Analytics &amp; Tank Illustration
- The client asked for tank-wise visibility in addition to product-wise views.
- The discussion clarified that this requirement is already fulfilled through the Stock Levels report.
- The gap identified was client awareness and product discoverability, not missing functionality.
- Tank illustration is also required.</t>
  </si>
  <si>
    <t>Sales Targets &amp; Organizational Hierarchy
- Sales targets are maintained at multiple levels, including yearly, quarterly, monthly, and weekly.
- The client does not use daily targets as a primary planning level.
- Weekly contribution to yearly targets is important.
- Targets are established globally for fuel and are often maintained in Excel at area and station level.
- The client wants an Excel upload feature so sales targets can be populated in bulk.
- A sample Excel file is to be shared by the client after checking with the sales team.
- The client also wants targets and sites linked to territory managers and other organizational roles.
- The current page can partially support target assignment but does not fully reflect the organizational hierarchy such as region-wise or territory-manager-wise structures.
- Further alignment with the sales team is needed to define how targets should be modeled in Fintech Fuel and to set expectations.</t>
  </si>
  <si>
    <t>Date Range &amp; Time Handling
- The client objected to 8 AM to 8 PM reconciliation windows from a UX perspective.
- Date filtering should behave as full-day selection:
- Single day selection should mean 00:00 to 23:59.
- Multi-day selection should mean from the start of the first day to the end of the last day.
- Site-level time window configuration exists, but implementation would require client approval.
- A possible tolerance buffer of 5% to 10% was discussed to account for timing-related variances such as transactions crossing midnight.
- The team agreed that the transaction end time is the correct timestamp to use for calculations.</t>
  </si>
  <si>
    <t>Price Monitoring &amp; Control
- The client wants head-office price communication to each dispenser.
- This feature has been built for ALSONs and is in progress for the DOVER Fusion Controller.
- If a site changes the selling price from the approved head-office price, Fintech Fuel should raise an alert.
- The client gave an example where a site selling at a higher price than the approved price must be flagged.
- The client expects exact price matching and does not want a tolerance-based comparison here.
- If no transaction has occurred, the current logic may not receive PPU data; this limitation needs a workaround.
- Price comparison and price history should be visible in the application.
- Price change alerting should not depend only on transactions because the damage may already be done by then.
- The team needs to confirm whether the FC controller communicates price changes directly.</t>
  </si>
  <si>
    <t>Role-Based Access
- Ground staff should have read-only access.
- Head-office staff should have edit and configuration control.
- Manual entry and sensitive corrections should follow user-role restrictions.
- The client requested user management roles and an approval system through hierarchy for manual data entry and related control workflows.</t>
  </si>
  <si>
    <t>Leak &amp; Theft Alerts</t>
  </si>
  <si>
    <t> </t>
  </si>
  <si>
    <t>Sample test for litre quantity from dispenser and then pouring back to tank or detained (discarded)</t>
  </si>
  <si>
    <t>To compliance with OGRA</t>
  </si>
  <si>
    <t>Get delivery data from OMC companies from their ERP via API and match with how much exact delivery is delivered to Tank at Site to make sure if the Dealer has decanted some delivery to else where or not.</t>
  </si>
  <si>
    <t>Take manual dip reading with DateTime stamp for opening and closing stocks. And make separate reconciliation report wchih will take manual dip readings entered by user.</t>
  </si>
  <si>
    <t>Configurable Site Reconn. Time (done)</t>
  </si>
  <si>
    <t>OmniChat Roadmap Items</t>
  </si>
  <si>
    <t>Omni Agent Connector</t>
  </si>
  <si>
    <t>Connects to OmniAgent via API for OC related queries</t>
  </si>
  <si>
    <t>https://octopusdtlsupport.atlassian.net/browse/O2-1461</t>
  </si>
  <si>
    <t>Dashboard</t>
  </si>
  <si>
    <t>Dashboard level Filtering</t>
  </si>
  <si>
    <t>https://octopusdtlsupport.atlassian.net/browse/MN-30</t>
  </si>
  <si>
    <t>Impl Team</t>
  </si>
  <si>
    <t>Panel level Filtering</t>
  </si>
  <si>
    <t>https://octopusdtlsupport.atlassian.net/browse/MN-75</t>
  </si>
  <si>
    <t>Panel Resizing</t>
  </si>
  <si>
    <t>https://octopusdtlsupport.atlassian.net/browse/MN-76</t>
  </si>
  <si>
    <t>Auto Dashboard sharing</t>
  </si>
  <si>
    <t>https://octopusdtlsupport.atlassian.net/browse/MN-77</t>
  </si>
  <si>
    <t>Text Overlap in Graphs (x-axis)</t>
  </si>
  <si>
    <t>https://octopusdtlsupport.atlassian.net/browse/MN-153</t>
  </si>
  <si>
    <t>DataSet</t>
  </si>
  <si>
    <t>Auto Dataset Selection</t>
  </si>
  <si>
    <t>https://octopusdtlsupport.atlassian.net/browse/MN-29</t>
  </si>
  <si>
    <t xml:space="preserve">Advanced Multiple Dataset </t>
  </si>
  <si>
    <t>https://octopusdtlsupport.atlassian.net/browse/MN-32</t>
  </si>
  <si>
    <t>Sharing</t>
  </si>
  <si>
    <t>Group Chat</t>
  </si>
  <si>
    <t>https://octopusdtlsupport.atlassian.net/browse/MN-31</t>
  </si>
  <si>
    <t>Communication Channels</t>
  </si>
  <si>
    <t>Extend quering to enterprise communication channels</t>
  </si>
  <si>
    <t>Password Reset</t>
  </si>
  <si>
    <t>https://octopusdtlsupport.atlassian.net/browse/MN-53</t>
  </si>
  <si>
    <t>Documentation</t>
  </si>
  <si>
    <t>User Manual</t>
  </si>
  <si>
    <t>Issue Fixing</t>
  </si>
  <si>
    <t>Known Issues fixing (reported during handover)</t>
  </si>
  <si>
    <t>https://octopusdtlsupport.atlassian.net/browse/MN-78</t>
  </si>
  <si>
    <t>First regression on OmniChat</t>
  </si>
  <si>
    <t>Estimations</t>
  </si>
  <si>
    <t xml:space="preserve">EPR </t>
  </si>
  <si>
    <t>Planned  vs Actual</t>
  </si>
  <si>
    <t>Efficiency</t>
  </si>
  <si>
    <t>Schedule variance in days</t>
  </si>
  <si>
    <t>Later</t>
  </si>
  <si>
    <t>Technical Debt</t>
  </si>
  <si>
    <t>Digital Log - Absolute range</t>
  </si>
  <si>
    <t>DEV</t>
  </si>
  <si>
    <t>Enrichment </t>
  </si>
  <si>
    <t>MAN</t>
  </si>
  <si>
    <t>Digital Log - Attachment pic with each Checklist (, audio, video, pdf, etc)</t>
  </si>
  <si>
    <t>Digital Log - Attachments at remarks from approver1, approver2</t>
  </si>
  <si>
    <t>Digital Log - Bulk creation of parameters through importing CSV file(s) (User can develop a template of parameters and then can use for multiple areas/assets)</t>
  </si>
  <si>
    <t>Digital Log - Calculated tags</t>
  </si>
  <si>
    <t>Digital Log - Delete option to admin (to delete unclaimed checklists) Data Collector → Inbox</t>
  </si>
  <si>
    <t>Digital Log - DL Analytics (Dependent upon client need &amp; Data)</t>
  </si>
  <si>
    <t xml:space="preserve">Enrichment </t>
  </si>
  <si>
    <t>Digital Log - DL Default Reports</t>
  </si>
  <si>
    <t>Digital Log - DL Trial on WebSite</t>
  </si>
  <si>
    <t>Digital Log - Domain Migration to Brand Octopus Digital</t>
  </si>
  <si>
    <t>Digital Log - DL Default Reports - Research</t>
  </si>
  <si>
    <t>Digital Log - Email text formatting</t>
  </si>
  <si>
    <t>Digital Log Roadmap Items</t>
  </si>
  <si>
    <t>Data Collector</t>
  </si>
  <si>
    <t>Journals for Web</t>
  </si>
  <si>
    <t>Journals for Mobile Android</t>
  </si>
  <si>
    <t>Mobile App iOS</t>
  </si>
  <si>
    <t>Journals for Mobile iOS</t>
  </si>
  <si>
    <t>User Remarks Traceability</t>
  </si>
  <si>
    <t>Colgate</t>
  </si>
  <si>
    <t>Calculated tags</t>
  </si>
  <si>
    <t>Client Feedback - Demo</t>
  </si>
  <si>
    <t>Attachments at remarks from approver1, approver2</t>
  </si>
  <si>
    <t>Ashghal</t>
  </si>
  <si>
    <t>Delete option to admin (to delete unclaimed checklists) Data Collector -&gt; Inbox</t>
  </si>
  <si>
    <t>EVTL</t>
  </si>
  <si>
    <t>Attachment pic with each Checklist (, audio, video, pdf, etc)</t>
  </si>
  <si>
    <t>Validation of Values to be within defined threshold</t>
  </si>
  <si>
    <t>Return &amp; Re-Approval param values and comments traceability</t>
  </si>
  <si>
    <t>https://octopusdtlsupport.atlassian.net/browse/DIGITALLOG-221</t>
  </si>
  <si>
    <t xml:space="preserve">Digital Signatures (Like DocuSign idea) </t>
  </si>
  <si>
    <t>https://octopusdtlsupport.atlassian.net/browse/DIGITALLOG-223</t>
  </si>
  <si>
    <t>Hierarchy Builder</t>
  </si>
  <si>
    <t>Import &amp; export of assets hierarchy</t>
  </si>
  <si>
    <t>Checklist Builder</t>
  </si>
  <si>
    <t>Import &amp; export of checklists</t>
  </si>
  <si>
    <t>Parameter Builder</t>
  </si>
  <si>
    <t>Bulk creation of parameters through importing CSV file(s) (User can develop a template of parameters and then can use for multiple areas/assets)</t>
  </si>
  <si>
    <t>Audits</t>
  </si>
  <si>
    <t>Automated Record of actions taken</t>
  </si>
  <si>
    <t>WorkFlows</t>
  </si>
  <si>
    <t>Automated Triggered O&amp;M Actions</t>
  </si>
  <si>
    <t>Holiday</t>
  </si>
  <si>
    <t>Holiday wrt Start and End Time</t>
  </si>
  <si>
    <t>Scheduling</t>
  </si>
  <si>
    <t>Triggering of checklist instance on some event (we have scheduled checklist feature &amp; it is triggered on given frequency)</t>
  </si>
  <si>
    <t>User Specified Time based Checklist Scheduling</t>
  </si>
  <si>
    <t>https://octopusdtlsupport.atlassian.net/browse/DIGITALLOG-222</t>
  </si>
  <si>
    <t>Trial</t>
  </si>
  <si>
    <t>DL Trial on WebSite</t>
  </si>
  <si>
    <t>Competitive  -  Plant Log</t>
  </si>
  <si>
    <t>LogChat</t>
  </si>
  <si>
    <t>LogChat - Data Analysis</t>
  </si>
  <si>
    <t>LogChat - User Help, Journals</t>
  </si>
  <si>
    <t>https://octopusdtlsupport.atlassian.net/browse/DIGITALLOG-259</t>
  </si>
  <si>
    <t>Dashboards/Reports</t>
  </si>
  <si>
    <t>Request for Digital Log Usage Dashboard / Report
1- Total number of active users over time
2- Checklist creation trends (daily/weekly/monthly)
3- Number of completed vs. pending checklists
4- User login frequency</t>
  </si>
  <si>
    <t>DL Analytics (Dependent upon client need &amp; Data)</t>
  </si>
  <si>
    <t>Reports list is not available/viewable in tablet portrait mode</t>
  </si>
  <si>
    <t>DL Default Reports</t>
  </si>
  <si>
    <t>Alerts</t>
  </si>
  <si>
    <t>Notifications (desktop) at due, overdue checklist(s)</t>
  </si>
  <si>
    <t>Email text formatting</t>
  </si>
  <si>
    <t>User Management</t>
  </si>
  <si>
    <t>Enhance User Access Rights at granular level of Create, Read, Update, Delete like OmniConnect</t>
  </si>
  <si>
    <t>Most Likely</t>
  </si>
  <si>
    <t>Calculated Estimates</t>
  </si>
  <si>
    <t>April - June</t>
  </si>
  <si>
    <t>total days</t>
  </si>
  <si>
    <t>days per month</t>
  </si>
  <si>
    <t>Capacity</t>
  </si>
  <si>
    <t>RnD Team</t>
  </si>
  <si>
    <t>Leaves</t>
  </si>
  <si>
    <t>heads</t>
  </si>
  <si>
    <t>Availability</t>
  </si>
  <si>
    <t>per resource availability</t>
  </si>
  <si>
    <t>3 support days in 3 months</t>
  </si>
  <si>
    <t>per month support</t>
  </si>
  <si>
    <t>ACTUAL  HOURS</t>
  </si>
  <si>
    <t>Jan</t>
  </si>
  <si>
    <t>Feb</t>
  </si>
  <si>
    <t>March</t>
  </si>
  <si>
    <t>Avg</t>
  </si>
  <si>
    <t>hours</t>
  </si>
  <si>
    <t>ACTUAL  DAYS</t>
  </si>
  <si>
    <t>days</t>
  </si>
  <si>
    <t>FORMULA EXERCISE</t>
  </si>
  <si>
    <t>Stage</t>
  </si>
  <si>
    <t>Optimistics</t>
  </si>
  <si>
    <t>Most likey</t>
  </si>
  <si>
    <t>%</t>
  </si>
  <si>
    <t>Pessimistics</t>
  </si>
  <si>
    <t>Formula</t>
  </si>
  <si>
    <t>Sheet-wise totals</t>
  </si>
  <si>
    <t>URS</t>
  </si>
  <si>
    <t>DDS</t>
  </si>
  <si>
    <t>0 = dont show sheet wise total</t>
  </si>
  <si>
    <t>1 = show sheet wise total (will disturb summary tab)</t>
  </si>
  <si>
    <t>Buffer</t>
  </si>
  <si>
    <t>Sheet names</t>
  </si>
  <si>
    <t>OmniConnect RMI</t>
  </si>
  <si>
    <t>Fintech Fuel RMI</t>
  </si>
  <si>
    <t>OmniChat RMI</t>
  </si>
  <si>
    <t>Digital Log RMI</t>
  </si>
  <si>
    <t>Misc Road map Items</t>
  </si>
  <si>
    <t>Azure Cost</t>
  </si>
  <si>
    <t>Azure monthly cost management</t>
  </si>
  <si>
    <t>Dashboard Cost Distribution</t>
  </si>
  <si>
    <t>Cost Optimization</t>
  </si>
  <si>
    <t>Evaluate Cost optimization potential</t>
  </si>
  <si>
    <t>Long Format</t>
  </si>
  <si>
    <t>Wide Format</t>
  </si>
  <si>
    <t>tagName</t>
  </si>
  <si>
    <t>Timestamp</t>
  </si>
  <si>
    <t>R1</t>
  </si>
  <si>
    <t>R2</t>
  </si>
  <si>
    <t>R3</t>
  </si>
  <si>
    <t>R4</t>
  </si>
  <si>
    <t>R5</t>
  </si>
  <si>
    <t>R6</t>
  </si>
  <si>
    <t>R7</t>
  </si>
  <si>
    <t>R8</t>
  </si>
  <si>
    <t>R9</t>
  </si>
  <si>
    <t>R10</t>
  </si>
  <si>
    <t>Scenario</t>
  </si>
  <si>
    <t>Current Solution (200 Only)</t>
  </si>
  <si>
    <t>Proposed Solution (200 / 206)</t>
  </si>
  <si>
    <t>Interpretation Improvement</t>
  </si>
  <si>
    <t>No data available (device off / no value at timestamp)</t>
  </si>
  <si>
    <t>Returns 200 OK with</t>
  </si>
  <si>
    <t>No change — this is a valid absence of data</t>
  </si>
  <si>
    <t>null</t>
  </si>
  <si>
    <t>Unexpected device behavior (invalid/null ingestion)</t>
  </si>
  <si>
    <t>No change — still treated as valid but anomalous data</t>
  </si>
  <si>
    <t>Data not yet available (eventual consistency, e.g., ADX delay)</t>
  </si>
  <si>
    <t>Returns 206 Partial Content with</t>
  </si>
  <si>
    <t>Clear distinction: indicates data is incomplete, not absent</t>
  </si>
  <si>
    <t>Client’s ability to distinguish null cause</t>
  </si>
  <si>
    <t>Not possible — all nulls look identical</t>
  </si>
  <si>
    <t>Improved — 206 signals incomplete/partial data</t>
  </si>
  <si>
    <t>Enables better downstream handling and retries.</t>
  </si>
  <si>
    <t>Risk of silent data quality issues</t>
  </si>
  <si>
    <t>High — incomplete data may go unnoticed</t>
  </si>
  <si>
    <t>Reduced — partial responses are explicitly flagged.</t>
  </si>
  <si>
    <t>Improves observability and data integrity.</t>
  </si>
  <si>
    <t>Downstream system behavior (data marts, dashboards)</t>
  </si>
  <si>
    <t>May ingest incomplete data unknowingly</t>
  </si>
  <si>
    <t>Can implement safeguards (retry, delay ingestion)</t>
  </si>
  <si>
    <t>Prevents long-term data inconsistencies</t>
  </si>
  <si>
    <t>x</t>
  </si>
  <si>
    <t>Total Planned</t>
  </si>
  <si>
    <t>Unplanned</t>
  </si>
  <si>
    <t>Onhold</t>
  </si>
  <si>
    <t>OC</t>
  </si>
  <si>
    <t>FF</t>
  </si>
  <si>
    <t>first we didnt do it</t>
  </si>
  <si>
    <t>DL</t>
  </si>
  <si>
    <t>now we have done</t>
  </si>
  <si>
    <t>Pricing</t>
  </si>
  <si>
    <t>Technical Support</t>
  </si>
  <si>
    <t>Estimation</t>
  </si>
  <si>
    <t>RMI</t>
  </si>
  <si>
    <t>Status</t>
  </si>
  <si>
    <t>Apr</t>
  </si>
  <si>
    <t xml:space="preserve">May </t>
  </si>
  <si>
    <t>June</t>
  </si>
  <si>
    <t>a</t>
  </si>
  <si>
    <t>Delivered</t>
  </si>
  <si>
    <t>b</t>
  </si>
  <si>
    <t>c</t>
  </si>
  <si>
    <t>d</t>
  </si>
  <si>
    <t>e</t>
  </si>
  <si>
    <t>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</si>
</sst>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
    <numFmt numFmtId="165" formatCode="0.0"/>
  </numFmts>
  <fonts count="41">
    <font>
      <sz val="11"/>
      <color theme="1"/>
      <name val="Calibri"/>
      <family val="2"/>
      <scheme val="minor"/>
    </font>
    <font>
      <sz val="11"/>
      <color theme="1"/>
      <name val="Calibri"/>
      <scheme val="minor"/>
    </font>
    <font>
      <sz val="11"/>
      <color theme="1"/>
      <name val="Calibri"/>
      <scheme val="minor"/>
    </font>
    <font>
      <b/>
      <sz val="11"/>
      <color theme="1"/>
      <name val="Calibri"/>
      <family val="2"/>
      <scheme val="minor"/>
    </font>
    <font>
      <sz val="11"/>
      <color rgb="FF000000"/>
      <name val="Calibri"/>
      <family val="2"/>
      <scheme val="minor"/>
    </font>
    <font>
      <sz val="11"/>
      <color rgb="FF000000"/>
      <name val="Calibri"/>
      <scheme val="minor"/>
    </font>
    <font>
      <sz val="11"/>
      <color rgb="FF000000"/>
      <name val="Aptos Narrow"/>
    </font>
    <font>
      <sz val="10"/>
      <color rgb="FF000000"/>
      <name val="Arial"/>
      <charset val="1"/>
    </font>
    <font>
      <sz val="11"/>
      <color rgb="FF000000"/>
      <name val="Calibri"/>
    </font>
    <font>
      <sz val="11"/>
      <color theme="1"/>
      <name val="Calibri"/>
      <family val="2"/>
      <scheme val="minor"/>
    </font>
    <font>
      <sz val="11"/>
      <color rgb="FF006100"/>
      <name val="Calibri"/>
      <family val="2"/>
      <scheme val="minor"/>
    </font>
    <font>
      <b/>
      <sz val="11"/>
      <color rgb="FF006100"/>
      <name val="Calibri"/>
      <family val="2"/>
      <scheme val="minor"/>
    </font>
    <font>
      <b/>
      <sz val="11"/>
      <color rgb="FFC00000"/>
      <name val="Calibri"/>
      <family val="2"/>
      <scheme val="minor"/>
    </font>
    <font>
      <sz val="11"/>
      <color rgb="FF000000"/>
      <name val="Calibri"/>
      <family val="2"/>
    </font>
    <font>
      <b/>
      <sz val="11"/>
      <color theme="1"/>
      <name val="Calibri"/>
      <scheme val="minor"/>
    </font>
    <font>
      <sz val="14"/>
      <color theme="1"/>
      <name val="Calibri"/>
      <family val="2"/>
      <scheme val="minor"/>
    </font>
    <font>
      <b/>
      <sz val="14"/>
      <color theme="1"/>
      <name val="Calibri"/>
      <family val="2"/>
      <scheme val="minor"/>
    </font>
    <font>
      <b/>
      <sz val="11"/>
      <color rgb="FF006100"/>
      <name val="Calibri"/>
      <scheme val="minor"/>
    </font>
    <font>
      <b/>
      <sz val="11"/>
      <color rgb="FFC00000"/>
      <name val="Calibri"/>
      <scheme val="minor"/>
    </font>
    <font>
      <b/>
      <sz val="16"/>
      <color theme="5" tint="-0.249977111117893"/>
      <name val="Calibri"/>
      <family val="2"/>
      <scheme val="minor"/>
    </font>
    <font>
      <b/>
      <sz val="18"/>
      <color theme="1"/>
      <name val="Calibri"/>
      <family val="2"/>
      <scheme val="minor"/>
    </font>
    <font>
      <b/>
      <sz val="20"/>
      <color theme="1"/>
      <name val="Calibri"/>
      <family val="2"/>
      <scheme val="minor"/>
    </font>
    <font>
      <sz val="20"/>
      <color theme="1"/>
      <name val="Calibri"/>
      <family val="2"/>
      <scheme val="minor"/>
    </font>
    <font>
      <sz val="20"/>
      <color theme="9" tint="-0.249977111117893"/>
      <name val="Calibri"/>
      <family val="2"/>
      <scheme val="minor"/>
    </font>
    <font>
      <sz val="20"/>
      <color theme="5" tint="-0.249977111117893"/>
      <name val="Calibri"/>
      <family val="2"/>
      <scheme val="minor"/>
    </font>
    <font>
      <sz val="20"/>
      <color theme="4"/>
      <name val="Calibri"/>
      <family val="2"/>
      <scheme val="minor"/>
    </font>
    <font>
      <b/>
      <i/>
      <sz val="20"/>
      <color theme="1"/>
      <name val="Calibri"/>
      <family val="2"/>
      <scheme val="minor"/>
    </font>
    <font>
      <b/>
      <i/>
      <sz val="20"/>
      <color theme="9"/>
      <name val="Calibri"/>
      <family val="2"/>
      <scheme val="minor"/>
    </font>
    <font>
      <b/>
      <i/>
      <sz val="20"/>
      <color theme="5"/>
      <name val="Calibri"/>
      <family val="2"/>
      <scheme val="minor"/>
    </font>
    <font>
      <b/>
      <i/>
      <sz val="20"/>
      <color theme="4"/>
      <name val="Calibri"/>
      <family val="2"/>
      <scheme val="minor"/>
    </font>
    <font>
      <i/>
      <sz val="20"/>
      <color theme="1" tint="0.499984740745262"/>
      <name val="Calibri"/>
      <family val="2"/>
      <scheme val="minor"/>
    </font>
    <font>
      <b/>
      <sz val="11"/>
      <color rgb="FFFF0000"/>
      <name val="Calibri"/>
      <family val="2"/>
      <scheme val="minor"/>
    </font>
    <font>
      <b/>
      <sz val="11"/>
      <color rgb="FFFF0000"/>
      <name val="Calibri"/>
    </font>
    <font>
      <u/>
      <sz val="11"/>
      <color theme="1"/>
      <name val="Calibri"/>
      <family val="2"/>
      <scheme val="minor"/>
    </font>
    <font>
      <sz val="11"/>
      <color rgb="FF000000"/>
      <name val="Calibri"/>
      <charset val="1"/>
    </font>
    <font>
      <b/>
      <sz val="20"/>
      <color rgb="FFFF0000"/>
      <name val="Calibri"/>
      <family val="2"/>
      <scheme val="minor"/>
    </font>
    <font>
      <sz val="20"/>
      <color rgb="FFFF0000"/>
      <name val="Calibri"/>
      <family val="2"/>
      <scheme val="minor"/>
    </font>
    <font>
      <b/>
      <i/>
      <sz val="20"/>
      <color rgb="FFFF0000"/>
      <name val="Calibri"/>
      <family val="2"/>
      <scheme val="minor"/>
    </font>
    <font>
      <strike/>
      <sz val="11"/>
      <color rgb="FF000000"/>
      <name val="Calibri"/>
      <family val="2"/>
      <scheme val="minor"/>
    </font>
    <font>
      <b/>
      <sz val="36"/>
      <color theme="1"/>
      <name val="Calibri"/>
      <family val="2"/>
      <scheme val="minor"/>
    </font>
    <font>
      <u/>
      <sz val="11"/>
      <color theme="10"/>
      <name val="Calibri"/>
      <family val="2"/>
      <scheme val="minor"/>
    </font>
  </fonts>
  <fills count="18">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rgb="FFC6EFCE"/>
      </patternFill>
    </fill>
    <fill>
      <patternFill patternType="solid">
        <fgColor theme="2"/>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FFFF00"/>
        <bgColor rgb="FF000000"/>
      </patternFill>
    </fill>
    <fill>
      <patternFill patternType="solid">
        <fgColor theme="9" tint="0.79998168889431442"/>
        <bgColor indexed="64"/>
      </patternFill>
    </fill>
    <fill>
      <patternFill patternType="solid">
        <fgColor theme="7" tint="0.59999389629810485"/>
        <bgColor indexed="64"/>
      </patternFill>
    </fill>
    <fill>
      <patternFill patternType="solid">
        <fgColor theme="0"/>
        <bgColor indexed="64"/>
      </patternFill>
    </fill>
    <fill>
      <patternFill patternType="solid">
        <fgColor theme="9" tint="0.59999389629810485"/>
        <bgColor indexed="64"/>
      </patternFill>
    </fill>
    <fill>
      <patternFill patternType="solid">
        <fgColor rgb="FFF2F2F2"/>
        <bgColor rgb="FF000000"/>
      </patternFill>
    </fill>
    <fill>
      <patternFill patternType="solid">
        <fgColor rgb="FFFFF2F2"/>
        <bgColor indexed="64"/>
      </patternFill>
    </fill>
    <fill>
      <patternFill patternType="solid">
        <fgColor rgb="FF92D050"/>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style="medium">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style="thin">
        <color indexed="64"/>
      </right>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top style="thick">
        <color rgb="FF000000"/>
      </top>
      <bottom/>
      <diagonal/>
    </border>
    <border>
      <left/>
      <right/>
      <top/>
      <bottom style="thin">
        <color rgb="FF000000"/>
      </bottom>
      <diagonal/>
    </border>
    <border>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theme="0" tint="-0.499984740745262"/>
      </left>
      <right/>
      <top/>
      <bottom/>
      <diagonal/>
    </border>
    <border>
      <left style="thin">
        <color theme="0" tint="-0.499984740745262"/>
      </left>
      <right/>
      <top/>
      <bottom style="thin">
        <color rgb="FF000000"/>
      </bottom>
      <diagonal/>
    </border>
    <border>
      <left style="thin">
        <color theme="0" tint="-0.499984740745262"/>
      </left>
      <right/>
      <top style="thin">
        <color theme="0" tint="-0.499984740745262"/>
      </top>
      <bottom style="thin">
        <color theme="0" tint="-0.499984740745262"/>
      </bottom>
      <diagonal/>
    </border>
    <border>
      <left style="thin">
        <color rgb="FF000000"/>
      </left>
      <right style="thin">
        <color rgb="FF000000"/>
      </right>
      <top/>
      <bottom style="thin">
        <color rgb="FF000000"/>
      </bottom>
      <diagonal/>
    </border>
    <border>
      <left style="thin">
        <color theme="0" tint="-0.499984740745262"/>
      </left>
      <right style="thin">
        <color theme="0" tint="-0.499984740745262"/>
      </right>
      <top style="thin">
        <color theme="0" tint="-0.499984740745262"/>
      </top>
      <bottom/>
      <diagonal/>
    </border>
    <border>
      <left style="thin">
        <color rgb="FF000000"/>
      </left>
      <right style="thin">
        <color rgb="FF000000"/>
      </right>
      <top style="thin">
        <color rgb="FF000000"/>
      </top>
      <bottom/>
      <diagonal/>
    </border>
    <border>
      <left style="thin">
        <color theme="0" tint="-0.499984740745262"/>
      </left>
      <right style="thin">
        <color theme="0" tint="-0.499984740745262"/>
      </right>
      <top/>
      <bottom style="thin">
        <color theme="0" tint="-0.499984740745262"/>
      </bottom>
      <diagonal/>
    </border>
    <border>
      <left style="thin">
        <color rgb="FF000000"/>
      </left>
      <right style="thin">
        <color rgb="FF000000"/>
      </right>
      <top/>
      <bottom/>
      <diagonal/>
    </border>
    <border>
      <left style="thin">
        <color rgb="FF000000"/>
      </left>
      <right/>
      <top style="medium">
        <color rgb="FF000000"/>
      </top>
      <bottom style="thin">
        <color rgb="FF000000"/>
      </bottom>
      <diagonal/>
    </border>
    <border>
      <left style="thin">
        <color rgb="FF000000"/>
      </left>
      <right/>
      <top style="thin">
        <color rgb="FF000000"/>
      </top>
      <bottom style="medium">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s>
  <cellStyleXfs count="4">
    <xf numFmtId="0" fontId="0" fillId="0" borderId="0"/>
    <xf numFmtId="9" fontId="9" fillId="0" borderId="0"/>
    <xf numFmtId="0" fontId="10" fillId="4" borderId="0"/>
    <xf numFmtId="0" fontId="40" fillId="0" borderId="0"/>
  </cellStyleXfs>
  <cellXfs count="329">
    <xf numFmtId="0" fontId="0" fillId="0" borderId="0" xfId="0"/>
    <xf numFmtId="0" fontId="0" fillId="0" borderId="1" xfId="0" applyBorder="1"/>
    <xf numFmtId="0" fontId="4" fillId="0" borderId="1" xfId="0" applyFont="1" applyBorder="1" applyAlignment="1">
      <alignment horizontal="left" wrapText="1"/>
    </xf>
    <xf numFmtId="0" fontId="3" fillId="0" borderId="2" xfId="0" applyFont="1" applyBorder="1"/>
    <xf numFmtId="0" fontId="0" fillId="0" borderId="3" xfId="0" applyBorder="1"/>
    <xf numFmtId="0" fontId="0" fillId="0" borderId="5" xfId="0" applyBorder="1"/>
    <xf numFmtId="0" fontId="0" fillId="0" borderId="6" xfId="0" applyBorder="1"/>
    <xf numFmtId="0" fontId="3" fillId="0" borderId="0" xfId="0" applyFont="1"/>
    <xf numFmtId="0" fontId="5" fillId="0" borderId="9" xfId="0" applyFont="1" applyBorder="1" applyAlignment="1">
      <alignment readingOrder="1"/>
    </xf>
    <xf numFmtId="0" fontId="6" fillId="0" borderId="9" xfId="0" applyFont="1" applyBorder="1"/>
    <xf numFmtId="0" fontId="7" fillId="0" borderId="9" xfId="0" applyFont="1" applyBorder="1" applyAlignment="1">
      <alignment readingOrder="1"/>
    </xf>
    <xf numFmtId="15" fontId="8" fillId="0" borderId="9" xfId="0" applyNumberFormat="1" applyFont="1" applyBorder="1"/>
    <xf numFmtId="0" fontId="7" fillId="0" borderId="10" xfId="0" applyFont="1" applyBorder="1" applyAlignment="1">
      <alignment readingOrder="1"/>
    </xf>
    <xf numFmtId="0" fontId="8" fillId="0" borderId="9" xfId="0" applyFont="1" applyBorder="1" applyAlignment="1">
      <alignment wrapText="1"/>
    </xf>
    <xf numFmtId="0" fontId="5" fillId="0" borderId="9" xfId="0" applyFont="1" applyBorder="1" applyAlignment="1">
      <alignment wrapText="1"/>
    </xf>
    <xf numFmtId="0" fontId="8" fillId="0" borderId="9" xfId="0" applyFont="1" applyBorder="1"/>
    <xf numFmtId="0" fontId="8" fillId="0" borderId="10" xfId="0" applyFont="1" applyBorder="1"/>
    <xf numFmtId="15" fontId="8" fillId="0" borderId="9" xfId="0" applyNumberFormat="1" applyFont="1" applyBorder="1" applyAlignment="1">
      <alignment wrapText="1"/>
    </xf>
    <xf numFmtId="0" fontId="5" fillId="0" borderId="9" xfId="0" applyFont="1" applyBorder="1" applyAlignment="1">
      <alignment wrapText="1" readingOrder="1"/>
    </xf>
    <xf numFmtId="0" fontId="0" fillId="0" borderId="0" xfId="0" applyAlignment="1">
      <alignment wrapText="1"/>
    </xf>
    <xf numFmtId="0" fontId="5" fillId="2" borderId="9" xfId="0" applyFont="1" applyFill="1" applyBorder="1" applyAlignment="1">
      <alignment readingOrder="1"/>
    </xf>
    <xf numFmtId="0" fontId="0" fillId="2" borderId="0" xfId="0" applyFill="1"/>
    <xf numFmtId="0" fontId="5" fillId="2" borderId="9" xfId="0" applyFont="1" applyFill="1" applyBorder="1" applyAlignment="1">
      <alignment wrapText="1"/>
    </xf>
    <xf numFmtId="0" fontId="0" fillId="0" borderId="1" xfId="0" applyBorder="1" applyAlignment="1">
      <alignment vertical="center"/>
    </xf>
    <xf numFmtId="0" fontId="0" fillId="0" borderId="1" xfId="0" applyBorder="1" applyAlignment="1">
      <alignment horizontal="center" vertical="center"/>
    </xf>
    <xf numFmtId="0" fontId="3" fillId="0" borderId="1" xfId="0" applyFont="1" applyBorder="1"/>
    <xf numFmtId="0" fontId="4" fillId="0" borderId="1" xfId="0" applyFont="1" applyBorder="1" applyAlignment="1">
      <alignment wrapText="1"/>
    </xf>
    <xf numFmtId="0" fontId="3" fillId="0" borderId="12" xfId="0" applyFont="1" applyBorder="1"/>
    <xf numFmtId="0" fontId="0" fillId="0" borderId="13" xfId="0" applyBorder="1"/>
    <xf numFmtId="0" fontId="0" fillId="0" borderId="11" xfId="0" applyBorder="1"/>
    <xf numFmtId="0" fontId="0" fillId="0" borderId="14" xfId="0" applyBorder="1"/>
    <xf numFmtId="0" fontId="3" fillId="0" borderId="0" xfId="0" applyFont="1" applyAlignment="1">
      <alignment wrapText="1"/>
    </xf>
    <xf numFmtId="0" fontId="3" fillId="0" borderId="2" xfId="0" applyFont="1" applyBorder="1" applyAlignment="1">
      <alignment wrapText="1"/>
    </xf>
    <xf numFmtId="0" fontId="0" fillId="0" borderId="1" xfId="0" applyBorder="1" applyAlignment="1">
      <alignment wrapText="1"/>
    </xf>
    <xf numFmtId="0" fontId="0" fillId="0" borderId="4" xfId="0" applyBorder="1" applyAlignment="1">
      <alignment horizontal="left" vertical="center" wrapText="1"/>
    </xf>
    <xf numFmtId="9" fontId="0" fillId="0" borderId="0" xfId="0" applyNumberFormat="1"/>
    <xf numFmtId="9" fontId="0" fillId="0" borderId="0" xfId="1" applyFont="1"/>
    <xf numFmtId="0" fontId="3" fillId="5" borderId="16" xfId="0" applyFont="1" applyFill="1" applyBorder="1" applyAlignment="1">
      <alignment horizontal="center" vertical="center"/>
    </xf>
    <xf numFmtId="1" fontId="0" fillId="5" borderId="16" xfId="0" applyNumberFormat="1" applyFill="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2" xfId="0" applyFont="1" applyBorder="1" applyAlignment="1">
      <alignment horizontal="center" vertical="center"/>
    </xf>
    <xf numFmtId="0" fontId="3" fillId="3" borderId="1" xfId="0" applyFont="1" applyFill="1" applyBorder="1" applyAlignment="1">
      <alignment horizontal="center" vertical="center"/>
    </xf>
    <xf numFmtId="0" fontId="3" fillId="3" borderId="11" xfId="0" applyFont="1" applyFill="1" applyBorder="1" applyAlignment="1">
      <alignment horizontal="center" vertical="center"/>
    </xf>
    <xf numFmtId="0" fontId="0" fillId="0" borderId="11" xfId="0" applyBorder="1" applyAlignment="1">
      <alignment horizontal="center" vertical="center"/>
    </xf>
    <xf numFmtId="0" fontId="4" fillId="2" borderId="1" xfId="0" applyFont="1" applyFill="1" applyBorder="1" applyAlignment="1">
      <alignment wrapText="1"/>
    </xf>
    <xf numFmtId="0" fontId="3" fillId="3" borderId="2" xfId="0" applyFont="1" applyFill="1" applyBorder="1" applyAlignment="1">
      <alignment horizontal="center" vertical="center"/>
    </xf>
    <xf numFmtId="0" fontId="3" fillId="3" borderId="12" xfId="0" applyFont="1" applyFill="1" applyBorder="1" applyAlignment="1">
      <alignment horizontal="center" vertical="center"/>
    </xf>
    <xf numFmtId="0" fontId="4" fillId="0" borderId="1" xfId="0" applyFont="1" applyBorder="1" applyAlignment="1">
      <alignment horizontal="left" vertical="top" wrapText="1"/>
    </xf>
    <xf numFmtId="0" fontId="3" fillId="0" borderId="12" xfId="0" applyFont="1" applyBorder="1" applyAlignment="1">
      <alignment horizontal="left" vertical="top"/>
    </xf>
    <xf numFmtId="0" fontId="0" fillId="0" borderId="1" xfId="0" applyBorder="1" applyAlignment="1">
      <alignment horizontal="left" vertical="top"/>
    </xf>
    <xf numFmtId="0" fontId="0" fillId="0" borderId="1" xfId="0" applyBorder="1" applyAlignment="1">
      <alignment horizontal="left" vertical="top" wrapText="1"/>
    </xf>
    <xf numFmtId="0" fontId="0" fillId="0" borderId="0" xfId="0" applyAlignment="1">
      <alignment horizontal="left" vertical="top"/>
    </xf>
    <xf numFmtId="1" fontId="0" fillId="0" borderId="0" xfId="0" applyNumberFormat="1"/>
    <xf numFmtId="0" fontId="0" fillId="0" borderId="7" xfId="0" applyBorder="1" applyAlignment="1">
      <alignment horizontal="center" vertical="center"/>
    </xf>
    <xf numFmtId="0" fontId="0" fillId="7" borderId="1" xfId="0" applyFill="1" applyBorder="1" applyAlignment="1">
      <alignment horizontal="center" vertical="center"/>
    </xf>
    <xf numFmtId="0" fontId="0" fillId="8" borderId="1" xfId="0" applyFill="1" applyBorder="1" applyAlignment="1">
      <alignment horizontal="center" vertical="center"/>
    </xf>
    <xf numFmtId="0" fontId="0" fillId="8" borderId="1" xfId="0" applyFill="1" applyBorder="1"/>
    <xf numFmtId="0" fontId="0" fillId="8" borderId="1" xfId="0" applyFill="1" applyBorder="1" applyAlignment="1">
      <alignment wrapText="1"/>
    </xf>
    <xf numFmtId="0" fontId="0" fillId="8" borderId="1" xfId="0" applyFill="1" applyBorder="1" applyAlignment="1">
      <alignment horizontal="left" vertical="top"/>
    </xf>
    <xf numFmtId="0" fontId="4" fillId="8" borderId="1" xfId="0" applyFont="1" applyFill="1" applyBorder="1" applyAlignment="1">
      <alignment horizontal="left" vertical="top" wrapText="1"/>
    </xf>
    <xf numFmtId="0" fontId="0" fillId="9" borderId="1" xfId="0" applyFill="1" applyBorder="1" applyAlignment="1">
      <alignment horizontal="left" vertical="top"/>
    </xf>
    <xf numFmtId="0" fontId="0" fillId="9" borderId="1" xfId="0" applyFill="1" applyBorder="1"/>
    <xf numFmtId="0" fontId="0" fillId="9" borderId="0" xfId="0" applyFill="1" applyAlignment="1">
      <alignment horizontal="center" vertical="center"/>
    </xf>
    <xf numFmtId="0" fontId="0" fillId="9" borderId="1" xfId="0" applyFill="1" applyBorder="1" applyAlignment="1">
      <alignment horizontal="center" vertical="center"/>
    </xf>
    <xf numFmtId="0" fontId="12" fillId="0" borderId="0" xfId="0" applyFont="1"/>
    <xf numFmtId="0" fontId="0" fillId="0" borderId="9" xfId="0" applyBorder="1"/>
    <xf numFmtId="0" fontId="3" fillId="3" borderId="9" xfId="0" applyFont="1" applyFill="1" applyBorder="1" applyAlignment="1">
      <alignment horizontal="center" vertical="center"/>
    </xf>
    <xf numFmtId="0" fontId="8" fillId="10" borderId="0" xfId="0" applyFont="1" applyFill="1" applyAlignment="1">
      <alignment wrapText="1"/>
    </xf>
    <xf numFmtId="0" fontId="3" fillId="0" borderId="9" xfId="0" applyFont="1" applyBorder="1"/>
    <xf numFmtId="0" fontId="3" fillId="0" borderId="9" xfId="0" applyFont="1" applyBorder="1" applyAlignment="1">
      <alignment wrapText="1"/>
    </xf>
    <xf numFmtId="0" fontId="3" fillId="0" borderId="9" xfId="0" applyFont="1" applyBorder="1" applyAlignment="1">
      <alignment horizontal="center" vertical="center"/>
    </xf>
    <xf numFmtId="0" fontId="12" fillId="5" borderId="9" xfId="0" applyFont="1" applyFill="1" applyBorder="1" applyAlignment="1">
      <alignment horizontal="center" vertical="center"/>
    </xf>
    <xf numFmtId="0" fontId="11" fillId="4" borderId="9" xfId="2" applyFont="1" applyBorder="1" applyAlignment="1">
      <alignment horizontal="center" vertical="center"/>
    </xf>
    <xf numFmtId="0" fontId="0" fillId="7" borderId="9" xfId="0" applyFill="1" applyBorder="1" applyAlignment="1">
      <alignment horizontal="center" vertical="center"/>
    </xf>
    <xf numFmtId="1" fontId="12" fillId="5" borderId="9" xfId="0" applyNumberFormat="1" applyFont="1" applyFill="1" applyBorder="1" applyAlignment="1">
      <alignment horizontal="center" vertical="center"/>
    </xf>
    <xf numFmtId="0" fontId="0" fillId="0" borderId="9" xfId="0" applyBorder="1" applyAlignment="1">
      <alignment vertical="center"/>
    </xf>
    <xf numFmtId="0" fontId="13" fillId="0" borderId="9" xfId="0" applyFont="1" applyBorder="1"/>
    <xf numFmtId="0" fontId="3" fillId="0" borderId="18" xfId="0" applyFont="1" applyBorder="1"/>
    <xf numFmtId="0" fontId="3" fillId="0" borderId="19" xfId="0" applyFont="1" applyBorder="1"/>
    <xf numFmtId="0" fontId="0" fillId="0" borderId="18" xfId="0" applyBorder="1"/>
    <xf numFmtId="0" fontId="0" fillId="0" borderId="19" xfId="0" applyBorder="1"/>
    <xf numFmtId="0" fontId="13" fillId="0" borderId="19" xfId="0" applyFont="1" applyBorder="1"/>
    <xf numFmtId="0" fontId="13" fillId="0" borderId="21" xfId="0" applyFont="1" applyBorder="1"/>
    <xf numFmtId="0" fontId="3" fillId="0" borderId="22" xfId="0" applyFont="1" applyBorder="1"/>
    <xf numFmtId="0" fontId="0" fillId="0" borderId="22" xfId="0" applyBorder="1"/>
    <xf numFmtId="0" fontId="3" fillId="0" borderId="9" xfId="0" applyFont="1" applyBorder="1" applyAlignment="1">
      <alignment horizontal="left" vertical="top"/>
    </xf>
    <xf numFmtId="0" fontId="0" fillId="0" borderId="9" xfId="0" applyBorder="1" applyAlignment="1">
      <alignment horizontal="left" vertical="top"/>
    </xf>
    <xf numFmtId="0" fontId="4" fillId="0" borderId="9" xfId="0" applyFont="1" applyBorder="1" applyAlignment="1">
      <alignment horizontal="left" vertical="top"/>
    </xf>
    <xf numFmtId="0" fontId="4" fillId="0" borderId="9" xfId="0" applyFont="1" applyBorder="1" applyAlignment="1">
      <alignment horizontal="left" vertical="top" wrapText="1"/>
    </xf>
    <xf numFmtId="0" fontId="0" fillId="8" borderId="9" xfId="0" applyFill="1" applyBorder="1" applyAlignment="1">
      <alignment horizontal="left" vertical="top"/>
    </xf>
    <xf numFmtId="0" fontId="13" fillId="0" borderId="9" xfId="0" applyFont="1" applyBorder="1" applyAlignment="1">
      <alignment horizontal="left" vertical="top"/>
    </xf>
    <xf numFmtId="0" fontId="8" fillId="0" borderId="9" xfId="0" applyFont="1" applyBorder="1" applyAlignment="1">
      <alignment horizontal="left" vertical="top" wrapText="1"/>
    </xf>
    <xf numFmtId="0" fontId="13" fillId="0" borderId="9" xfId="0" applyFont="1" applyBorder="1" applyAlignment="1">
      <alignment horizontal="left" vertical="top" wrapText="1"/>
    </xf>
    <xf numFmtId="0" fontId="3" fillId="0" borderId="24" xfId="0" applyFont="1" applyBorder="1"/>
    <xf numFmtId="0" fontId="4" fillId="9" borderId="9" xfId="0" applyFont="1" applyFill="1" applyBorder="1" applyAlignment="1">
      <alignment horizontal="left" vertical="top"/>
    </xf>
    <xf numFmtId="0" fontId="13" fillId="9" borderId="9" xfId="0" applyFont="1" applyFill="1" applyBorder="1" applyAlignment="1">
      <alignment horizontal="left" vertical="top"/>
    </xf>
    <xf numFmtId="0" fontId="4" fillId="8" borderId="9" xfId="0" applyFont="1" applyFill="1" applyBorder="1" applyAlignment="1">
      <alignment horizontal="left" vertical="top"/>
    </xf>
    <xf numFmtId="0" fontId="4" fillId="8" borderId="9" xfId="0" applyFont="1" applyFill="1" applyBorder="1" applyAlignment="1">
      <alignment horizontal="left" vertical="top" wrapText="1"/>
    </xf>
    <xf numFmtId="0" fontId="13" fillId="8" borderId="9" xfId="0" applyFont="1" applyFill="1" applyBorder="1" applyAlignment="1">
      <alignment horizontal="left" vertical="top"/>
    </xf>
    <xf numFmtId="0" fontId="13" fillId="11" borderId="20" xfId="0" applyFont="1" applyFill="1" applyBorder="1" applyAlignment="1">
      <alignment horizontal="left" vertical="top" wrapText="1"/>
    </xf>
    <xf numFmtId="0" fontId="0" fillId="11" borderId="9" xfId="0" applyFill="1" applyBorder="1" applyAlignment="1">
      <alignment horizontal="left" vertical="top"/>
    </xf>
    <xf numFmtId="0" fontId="4" fillId="11" borderId="9" xfId="0" applyFont="1" applyFill="1" applyBorder="1" applyAlignment="1">
      <alignment horizontal="left" vertical="top"/>
    </xf>
    <xf numFmtId="0" fontId="4" fillId="11" borderId="9" xfId="0" applyFont="1" applyFill="1" applyBorder="1" applyAlignment="1">
      <alignment horizontal="left" vertical="top" wrapText="1"/>
    </xf>
    <xf numFmtId="0" fontId="16" fillId="9" borderId="0" xfId="0" applyFont="1" applyFill="1" applyAlignment="1">
      <alignment horizontal="center" vertical="center"/>
    </xf>
    <xf numFmtId="0" fontId="16" fillId="5" borderId="0" xfId="0" applyFont="1" applyFill="1" applyAlignment="1">
      <alignment horizontal="left" vertical="center"/>
    </xf>
    <xf numFmtId="0" fontId="15" fillId="0" borderId="0" xfId="0" applyFont="1" applyAlignment="1">
      <alignment horizontal="left" vertical="center"/>
    </xf>
    <xf numFmtId="0" fontId="16" fillId="11" borderId="0" xfId="0" applyFont="1" applyFill="1" applyAlignment="1">
      <alignment horizontal="left" vertical="center"/>
    </xf>
    <xf numFmtId="0" fontId="16" fillId="3" borderId="0" xfId="0" applyFont="1" applyFill="1" applyAlignment="1">
      <alignment horizontal="left" vertical="center"/>
    </xf>
    <xf numFmtId="0" fontId="14" fillId="0" borderId="0" xfId="0" applyFont="1"/>
    <xf numFmtId="0" fontId="14" fillId="0" borderId="1" xfId="0" applyFont="1" applyBorder="1" applyAlignment="1">
      <alignment horizontal="center" vertical="center"/>
    </xf>
    <xf numFmtId="0" fontId="14" fillId="0" borderId="0" xfId="0" applyFont="1" applyAlignment="1">
      <alignment horizontal="center" vertical="center"/>
    </xf>
    <xf numFmtId="0" fontId="14" fillId="0" borderId="2" xfId="0" applyFont="1" applyBorder="1"/>
    <xf numFmtId="0" fontId="14" fillId="0" borderId="2" xfId="0" applyFont="1" applyBorder="1" applyAlignment="1">
      <alignment wrapText="1"/>
    </xf>
    <xf numFmtId="0" fontId="14" fillId="0" borderId="2" xfId="0" applyFont="1" applyBorder="1" applyAlignment="1">
      <alignment horizontal="center" vertical="center"/>
    </xf>
    <xf numFmtId="0" fontId="14" fillId="3" borderId="2" xfId="0" applyFont="1" applyFill="1" applyBorder="1" applyAlignment="1">
      <alignment horizontal="center" vertical="center"/>
    </xf>
    <xf numFmtId="0" fontId="14" fillId="3" borderId="12" xfId="0" applyFont="1" applyFill="1" applyBorder="1" applyAlignment="1">
      <alignment horizontal="center" vertical="center"/>
    </xf>
    <xf numFmtId="0" fontId="14" fillId="5" borderId="16" xfId="0" applyFont="1" applyFill="1" applyBorder="1" applyAlignment="1">
      <alignment horizontal="center" vertical="center"/>
    </xf>
    <xf numFmtId="1" fontId="18" fillId="5" borderId="9" xfId="0" applyNumberFormat="1" applyFont="1" applyFill="1" applyBorder="1" applyAlignment="1">
      <alignment horizontal="center" vertical="center"/>
    </xf>
    <xf numFmtId="0" fontId="14" fillId="0" borderId="12" xfId="0" applyFont="1" applyBorder="1" applyAlignment="1">
      <alignment horizontal="left" vertical="top"/>
    </xf>
    <xf numFmtId="0" fontId="5" fillId="0" borderId="1" xfId="0" applyFont="1" applyBorder="1" applyAlignment="1">
      <alignment horizontal="left" vertical="top" wrapText="1"/>
    </xf>
    <xf numFmtId="0" fontId="2" fillId="0" borderId="0" xfId="0" applyFont="1" applyAlignment="1">
      <alignment horizontal="left" vertical="top" wrapText="1"/>
    </xf>
    <xf numFmtId="0" fontId="3" fillId="7" borderId="9" xfId="0" applyFont="1" applyFill="1" applyBorder="1" applyAlignment="1">
      <alignment horizontal="center" vertical="center"/>
    </xf>
    <xf numFmtId="0" fontId="3" fillId="7" borderId="1" xfId="0" applyFont="1" applyFill="1" applyBorder="1" applyAlignment="1">
      <alignment horizontal="center" vertical="center"/>
    </xf>
    <xf numFmtId="0" fontId="0" fillId="13" borderId="28" xfId="0" applyFill="1" applyBorder="1"/>
    <xf numFmtId="0" fontId="0" fillId="13" borderId="29" xfId="0" applyFill="1" applyBorder="1"/>
    <xf numFmtId="0" fontId="0" fillId="13" borderId="30" xfId="0" applyFill="1" applyBorder="1"/>
    <xf numFmtId="0" fontId="19" fillId="13" borderId="0" xfId="0" applyFont="1" applyFill="1"/>
    <xf numFmtId="0" fontId="0" fillId="13" borderId="0" xfId="0" applyFill="1"/>
    <xf numFmtId="0" fontId="0" fillId="13" borderId="32" xfId="0" applyFill="1" applyBorder="1"/>
    <xf numFmtId="0" fontId="0" fillId="13" borderId="31" xfId="0" applyFill="1" applyBorder="1"/>
    <xf numFmtId="0" fontId="0" fillId="13" borderId="33" xfId="0" applyFill="1" applyBorder="1"/>
    <xf numFmtId="0" fontId="0" fillId="13" borderId="34" xfId="0" applyFill="1" applyBorder="1"/>
    <xf numFmtId="0" fontId="0" fillId="13" borderId="35" xfId="0" applyFill="1" applyBorder="1"/>
    <xf numFmtId="0" fontId="19" fillId="12" borderId="31" xfId="0" applyFont="1" applyFill="1" applyBorder="1" applyAlignment="1">
      <alignment horizontal="center" vertical="center"/>
    </xf>
    <xf numFmtId="0" fontId="21" fillId="0" borderId="0" xfId="0" applyFont="1" applyAlignment="1">
      <alignment horizontal="left" vertical="center"/>
    </xf>
    <xf numFmtId="0" fontId="21" fillId="5" borderId="0" xfId="0" applyFont="1" applyFill="1" applyAlignment="1">
      <alignment horizontal="center" vertical="center"/>
    </xf>
    <xf numFmtId="0" fontId="21" fillId="11" borderId="0" xfId="0" applyFont="1" applyFill="1" applyAlignment="1">
      <alignment horizontal="center" vertical="center"/>
    </xf>
    <xf numFmtId="0" fontId="21" fillId="3" borderId="0" xfId="0" applyFont="1" applyFill="1" applyAlignment="1">
      <alignment horizontal="center" vertical="center"/>
    </xf>
    <xf numFmtId="0" fontId="21" fillId="9" borderId="0" xfId="0" applyFont="1" applyFill="1" applyAlignment="1">
      <alignment horizontal="center" vertical="center"/>
    </xf>
    <xf numFmtId="0" fontId="21" fillId="0" borderId="26" xfId="0" applyFont="1" applyBorder="1" applyAlignment="1">
      <alignment horizontal="left" vertical="center"/>
    </xf>
    <xf numFmtId="0" fontId="22" fillId="0" borderId="26" xfId="0" applyFont="1" applyBorder="1" applyAlignment="1">
      <alignment horizontal="center" vertical="center"/>
    </xf>
    <xf numFmtId="1" fontId="23" fillId="0" borderId="26" xfId="0" applyNumberFormat="1" applyFont="1" applyBorder="1" applyAlignment="1">
      <alignment horizontal="center" vertical="center"/>
    </xf>
    <xf numFmtId="1" fontId="24" fillId="0" borderId="26" xfId="0" applyNumberFormat="1" applyFont="1" applyBorder="1" applyAlignment="1">
      <alignment horizontal="center" vertical="center"/>
    </xf>
    <xf numFmtId="1" fontId="25" fillId="0" borderId="26" xfId="0" applyNumberFormat="1" applyFont="1" applyBorder="1" applyAlignment="1">
      <alignment horizontal="center" vertical="center"/>
    </xf>
    <xf numFmtId="0" fontId="21" fillId="0" borderId="27" xfId="0" applyFont="1" applyBorder="1" applyAlignment="1">
      <alignment horizontal="left" vertical="center"/>
    </xf>
    <xf numFmtId="0" fontId="22" fillId="0" borderId="27" xfId="0" applyFont="1" applyBorder="1" applyAlignment="1">
      <alignment horizontal="center" vertical="center"/>
    </xf>
    <xf numFmtId="1" fontId="23" fillId="0" borderId="27" xfId="0" applyNumberFormat="1" applyFont="1" applyBorder="1" applyAlignment="1">
      <alignment horizontal="center" vertical="center"/>
    </xf>
    <xf numFmtId="1" fontId="24" fillId="0" borderId="27" xfId="0" applyNumberFormat="1" applyFont="1" applyBorder="1" applyAlignment="1">
      <alignment horizontal="center" vertical="center"/>
    </xf>
    <xf numFmtId="1" fontId="25" fillId="0" borderId="27" xfId="0" applyNumberFormat="1" applyFont="1" applyBorder="1" applyAlignment="1">
      <alignment horizontal="center" vertical="center"/>
    </xf>
    <xf numFmtId="0" fontId="26" fillId="0" borderId="25" xfId="0" applyFont="1" applyBorder="1" applyAlignment="1">
      <alignment horizontal="center" vertical="center"/>
    </xf>
    <xf numFmtId="1" fontId="27" fillId="0" borderId="25" xfId="0" applyNumberFormat="1" applyFont="1" applyBorder="1" applyAlignment="1">
      <alignment horizontal="center" vertical="center"/>
    </xf>
    <xf numFmtId="1" fontId="28" fillId="0" borderId="25" xfId="0" applyNumberFormat="1" applyFont="1" applyBorder="1" applyAlignment="1">
      <alignment horizontal="center" vertical="center"/>
    </xf>
    <xf numFmtId="1" fontId="29" fillId="0" borderId="25" xfId="0" applyNumberFormat="1" applyFont="1" applyBorder="1" applyAlignment="1">
      <alignment horizontal="center" vertical="center"/>
    </xf>
    <xf numFmtId="0" fontId="30" fillId="0" borderId="26" xfId="0" applyFont="1" applyBorder="1" applyAlignment="1">
      <alignment horizontal="center" vertical="center"/>
    </xf>
    <xf numFmtId="0" fontId="30" fillId="0" borderId="27" xfId="0" applyFont="1" applyBorder="1" applyAlignment="1">
      <alignment horizontal="center" vertical="center"/>
    </xf>
    <xf numFmtId="0" fontId="20" fillId="0" borderId="0" xfId="0" applyFont="1" applyAlignment="1">
      <alignment horizontal="center" vertical="center"/>
    </xf>
    <xf numFmtId="0" fontId="31" fillId="0" borderId="0" xfId="0" applyFont="1"/>
    <xf numFmtId="0" fontId="0" fillId="14" borderId="1" xfId="0" applyFill="1" applyBorder="1"/>
    <xf numFmtId="1" fontId="12" fillId="5" borderId="0" xfId="0" applyNumberFormat="1" applyFont="1" applyFill="1" applyAlignment="1">
      <alignment horizontal="center" vertical="center"/>
    </xf>
    <xf numFmtId="0" fontId="31" fillId="5" borderId="0" xfId="0" applyFont="1" applyFill="1" applyAlignment="1">
      <alignment horizontal="center" vertical="center"/>
    </xf>
    <xf numFmtId="164" fontId="31" fillId="5" borderId="9" xfId="0" applyNumberFormat="1" applyFont="1" applyFill="1" applyBorder="1" applyAlignment="1">
      <alignment horizontal="center" vertical="center"/>
    </xf>
    <xf numFmtId="0" fontId="31" fillId="5" borderId="9" xfId="0" applyFont="1" applyFill="1" applyBorder="1" applyAlignment="1">
      <alignment horizontal="center" vertical="center"/>
    </xf>
    <xf numFmtId="0" fontId="14" fillId="5" borderId="38" xfId="0" applyFont="1" applyFill="1" applyBorder="1" applyAlignment="1">
      <alignment horizontal="center" vertical="center"/>
    </xf>
    <xf numFmtId="1" fontId="31" fillId="5" borderId="39" xfId="0" applyNumberFormat="1" applyFont="1" applyFill="1" applyBorder="1" applyAlignment="1">
      <alignment horizontal="center" vertical="center"/>
    </xf>
    <xf numFmtId="1" fontId="0" fillId="5" borderId="9" xfId="0" applyNumberFormat="1" applyFill="1" applyBorder="1" applyAlignment="1">
      <alignment horizontal="center" vertical="center"/>
    </xf>
    <xf numFmtId="1" fontId="18" fillId="5" borderId="41" xfId="0" applyNumberFormat="1" applyFont="1" applyFill="1" applyBorder="1" applyAlignment="1">
      <alignment horizontal="center" vertical="center"/>
    </xf>
    <xf numFmtId="0" fontId="3" fillId="5" borderId="9" xfId="0" applyFont="1" applyFill="1" applyBorder="1" applyAlignment="1">
      <alignment horizontal="center" vertical="center"/>
    </xf>
    <xf numFmtId="0" fontId="12" fillId="6" borderId="9" xfId="0" applyFont="1" applyFill="1" applyBorder="1" applyAlignment="1">
      <alignment horizontal="center" vertical="center"/>
    </xf>
    <xf numFmtId="1" fontId="12" fillId="6" borderId="9" xfId="0" applyNumberFormat="1" applyFont="1" applyFill="1" applyBorder="1" applyAlignment="1">
      <alignment horizontal="center" vertical="center"/>
    </xf>
    <xf numFmtId="1" fontId="0" fillId="5" borderId="42" xfId="0" applyNumberFormat="1" applyFill="1" applyBorder="1" applyAlignment="1">
      <alignment horizontal="center" vertical="center"/>
    </xf>
    <xf numFmtId="1" fontId="12" fillId="5" borderId="39" xfId="0" applyNumberFormat="1" applyFont="1" applyFill="1" applyBorder="1" applyAlignment="1">
      <alignment horizontal="center" vertical="center"/>
    </xf>
    <xf numFmtId="1" fontId="31" fillId="6" borderId="9" xfId="0" applyNumberFormat="1" applyFont="1" applyFill="1" applyBorder="1" applyAlignment="1">
      <alignment horizontal="center" vertical="center"/>
    </xf>
    <xf numFmtId="164" fontId="31" fillId="6" borderId="9" xfId="0" applyNumberFormat="1" applyFont="1" applyFill="1" applyBorder="1" applyAlignment="1">
      <alignment horizontal="center" vertical="center"/>
    </xf>
    <xf numFmtId="1" fontId="31" fillId="6" borderId="39" xfId="0" applyNumberFormat="1" applyFont="1" applyFill="1" applyBorder="1" applyAlignment="1">
      <alignment horizontal="center" vertical="center"/>
    </xf>
    <xf numFmtId="164" fontId="31" fillId="6" borderId="39" xfId="0" applyNumberFormat="1" applyFont="1" applyFill="1" applyBorder="1" applyAlignment="1">
      <alignment horizontal="center" vertical="center"/>
    </xf>
    <xf numFmtId="1" fontId="31" fillId="6" borderId="41" xfId="0" applyNumberFormat="1" applyFont="1" applyFill="1" applyBorder="1" applyAlignment="1">
      <alignment horizontal="center" vertical="center"/>
    </xf>
    <xf numFmtId="164" fontId="31" fillId="6" borderId="41" xfId="0" applyNumberFormat="1" applyFont="1" applyFill="1" applyBorder="1" applyAlignment="1">
      <alignment horizontal="center" vertical="center"/>
    </xf>
    <xf numFmtId="16" fontId="32" fillId="15" borderId="39" xfId="0" applyNumberFormat="1" applyFont="1" applyFill="1" applyBorder="1"/>
    <xf numFmtId="0" fontId="33" fillId="2" borderId="1" xfId="0" applyFont="1" applyFill="1" applyBorder="1"/>
    <xf numFmtId="0" fontId="4" fillId="0" borderId="1" xfId="0" applyFont="1" applyBorder="1"/>
    <xf numFmtId="0" fontId="34" fillId="0" borderId="0" xfId="0" applyFont="1"/>
    <xf numFmtId="164" fontId="12" fillId="5" borderId="0" xfId="0" applyNumberFormat="1" applyFont="1" applyFill="1" applyAlignment="1">
      <alignment horizontal="center" vertical="center"/>
    </xf>
    <xf numFmtId="0" fontId="35" fillId="16" borderId="0" xfId="0" applyFont="1" applyFill="1" applyAlignment="1">
      <alignment horizontal="center" vertical="center"/>
    </xf>
    <xf numFmtId="1" fontId="36" fillId="0" borderId="26" xfId="0" applyNumberFormat="1" applyFont="1" applyBorder="1" applyAlignment="1">
      <alignment horizontal="center" vertical="center"/>
    </xf>
    <xf numFmtId="1" fontId="37" fillId="0" borderId="25" xfId="0" applyNumberFormat="1" applyFont="1" applyBorder="1" applyAlignment="1">
      <alignment horizontal="center" vertical="center"/>
    </xf>
    <xf numFmtId="0" fontId="38" fillId="0" borderId="1" xfId="0" applyFont="1" applyBorder="1" applyAlignment="1">
      <alignment wrapText="1"/>
    </xf>
    <xf numFmtId="0" fontId="38" fillId="0" borderId="1" xfId="0" applyFont="1" applyBorder="1" applyAlignment="1">
      <alignment horizontal="left" vertical="top" wrapText="1"/>
    </xf>
    <xf numFmtId="0" fontId="4" fillId="17" borderId="1" xfId="0" applyFont="1" applyFill="1" applyBorder="1" applyAlignment="1">
      <alignment horizontal="left" vertical="top" wrapText="1"/>
    </xf>
    <xf numFmtId="0" fontId="0" fillId="17" borderId="1" xfId="0" applyFill="1" applyBorder="1" applyAlignment="1">
      <alignment horizontal="left" vertical="top"/>
    </xf>
    <xf numFmtId="0" fontId="5" fillId="13" borderId="1" xfId="0" applyFont="1" applyFill="1" applyBorder="1" applyAlignment="1">
      <alignment horizontal="left" vertical="top" wrapText="1"/>
    </xf>
    <xf numFmtId="22" fontId="0" fillId="0" borderId="0" xfId="0" applyNumberFormat="1"/>
    <xf numFmtId="165" fontId="0" fillId="0" borderId="9" xfId="0" applyNumberFormat="1" applyBorder="1" applyAlignment="1">
      <alignment horizontal="center" vertical="center"/>
    </xf>
    <xf numFmtId="165" fontId="31" fillId="5" borderId="9" xfId="0" applyNumberFormat="1" applyFont="1" applyFill="1" applyBorder="1" applyAlignment="1">
      <alignment horizontal="center" vertical="center"/>
    </xf>
    <xf numFmtId="0" fontId="11" fillId="11" borderId="9" xfId="2" applyFont="1" applyFill="1" applyBorder="1" applyAlignment="1">
      <alignment horizontal="center" vertical="center"/>
    </xf>
    <xf numFmtId="165" fontId="31" fillId="5" borderId="39" xfId="0" applyNumberFormat="1" applyFont="1" applyFill="1" applyBorder="1" applyAlignment="1">
      <alignment horizontal="center" vertical="center"/>
    </xf>
    <xf numFmtId="165" fontId="31" fillId="5" borderId="41" xfId="0" applyNumberFormat="1" applyFont="1" applyFill="1" applyBorder="1" applyAlignment="1">
      <alignment horizontal="center" vertical="center"/>
    </xf>
    <xf numFmtId="165" fontId="12" fillId="5" borderId="9" xfId="0" applyNumberFormat="1" applyFont="1" applyFill="1" applyBorder="1" applyAlignment="1">
      <alignment horizontal="center" vertical="center"/>
    </xf>
    <xf numFmtId="165" fontId="12" fillId="5" borderId="0" xfId="0" applyNumberFormat="1" applyFont="1" applyFill="1" applyAlignment="1">
      <alignment horizontal="center" vertical="center"/>
    </xf>
    <xf numFmtId="1" fontId="18" fillId="7" borderId="9" xfId="0" applyNumberFormat="1" applyFont="1" applyFill="1" applyBorder="1" applyAlignment="1">
      <alignment horizontal="center" vertical="center"/>
    </xf>
    <xf numFmtId="165" fontId="31" fillId="7" borderId="9" xfId="0" applyNumberFormat="1" applyFont="1" applyFill="1" applyBorder="1" applyAlignment="1">
      <alignment horizontal="center" vertical="center"/>
    </xf>
    <xf numFmtId="164" fontId="31" fillId="7" borderId="39" xfId="0" applyNumberFormat="1" applyFont="1" applyFill="1" applyBorder="1" applyAlignment="1">
      <alignment horizontal="center" vertical="center"/>
    </xf>
    <xf numFmtId="16" fontId="32" fillId="7" borderId="39" xfId="0" applyNumberFormat="1" applyFont="1" applyFill="1" applyBorder="1"/>
    <xf numFmtId="164" fontId="12" fillId="5" borderId="9" xfId="0" applyNumberFormat="1" applyFont="1" applyFill="1" applyBorder="1" applyAlignment="1">
      <alignment horizontal="center" vertical="center"/>
    </xf>
    <xf numFmtId="165" fontId="0" fillId="2" borderId="9" xfId="0" applyNumberFormat="1" applyFill="1" applyBorder="1" applyAlignment="1">
      <alignment horizontal="center" vertical="center"/>
    </xf>
    <xf numFmtId="0" fontId="30" fillId="0" borderId="0" xfId="0" applyFont="1" applyAlignment="1">
      <alignment horizontal="center" vertical="center"/>
    </xf>
    <xf numFmtId="1" fontId="23" fillId="0" borderId="0" xfId="0" applyNumberFormat="1" applyFont="1" applyAlignment="1">
      <alignment horizontal="center" vertical="center"/>
    </xf>
    <xf numFmtId="1" fontId="24" fillId="0" borderId="0" xfId="0" applyNumberFormat="1" applyFont="1" applyAlignment="1">
      <alignment horizontal="center" vertical="center"/>
    </xf>
    <xf numFmtId="1" fontId="25" fillId="0" borderId="0" xfId="0" applyNumberFormat="1" applyFont="1" applyAlignment="1">
      <alignment horizontal="center" vertical="center"/>
    </xf>
    <xf numFmtId="1" fontId="36" fillId="0" borderId="0" xfId="0" applyNumberFormat="1" applyFont="1" applyAlignment="1">
      <alignment horizontal="center" vertical="center"/>
    </xf>
    <xf numFmtId="1" fontId="22" fillId="0" borderId="0" xfId="0" applyNumberFormat="1" applyFont="1" applyAlignment="1">
      <alignment horizontal="center" vertical="center"/>
    </xf>
    <xf numFmtId="1" fontId="26" fillId="0" borderId="25" xfId="0" applyNumberFormat="1" applyFont="1" applyBorder="1" applyAlignment="1">
      <alignment horizontal="center" vertical="center"/>
    </xf>
    <xf numFmtId="0" fontId="39" fillId="0" borderId="0" xfId="0" applyFont="1"/>
    <xf numFmtId="164" fontId="31" fillId="2" borderId="9" xfId="0" applyNumberFormat="1" applyFont="1" applyFill="1" applyBorder="1" applyAlignment="1">
      <alignment horizontal="center" vertical="center"/>
    </xf>
    <xf numFmtId="0" fontId="5" fillId="0" borderId="1" xfId="0" applyFont="1" applyBorder="1"/>
    <xf numFmtId="0" fontId="4" fillId="2" borderId="1" xfId="0" applyFont="1" applyFill="1" applyBorder="1" applyAlignment="1">
      <alignment horizontal="left" wrapText="1"/>
    </xf>
    <xf numFmtId="0" fontId="0" fillId="2" borderId="1" xfId="0" applyFill="1" applyBorder="1" applyAlignment="1">
      <alignment vertical="center" wrapText="1"/>
    </xf>
    <xf numFmtId="0" fontId="3" fillId="0" borderId="0" xfId="0" applyFont="1" applyAlignment="1">
      <alignment horizontal="center"/>
    </xf>
    <xf numFmtId="0" fontId="40" fillId="17" borderId="1" xfId="3" applyFill="1" applyBorder="1" applyAlignment="1">
      <alignment horizontal="left" vertical="top"/>
    </xf>
    <xf numFmtId="0" fontId="40" fillId="0" borderId="1" xfId="3" applyBorder="1" applyAlignment="1">
      <alignment horizontal="left" vertical="top"/>
    </xf>
    <xf numFmtId="0" fontId="40" fillId="0" borderId="1" xfId="3" applyBorder="1" applyAlignment="1">
      <alignment horizontal="left" vertical="top" wrapText="1"/>
    </xf>
    <xf numFmtId="0" fontId="40" fillId="0" borderId="0" xfId="3"/>
    <xf numFmtId="0" fontId="3" fillId="0" borderId="44" xfId="0" applyFont="1" applyBorder="1" applyAlignment="1">
      <alignment horizontal="center"/>
    </xf>
    <xf numFmtId="0" fontId="3" fillId="0" borderId="10" xfId="0" applyFont="1" applyBorder="1" applyAlignment="1">
      <alignment horizontal="left" vertical="top"/>
    </xf>
    <xf numFmtId="0" fontId="0" fillId="11" borderId="10" xfId="0" applyFill="1" applyBorder="1" applyAlignment="1">
      <alignment horizontal="left" vertical="top"/>
    </xf>
    <xf numFmtId="0" fontId="4" fillId="11" borderId="10" xfId="0" applyFont="1" applyFill="1" applyBorder="1" applyAlignment="1">
      <alignment horizontal="left" vertical="top"/>
    </xf>
    <xf numFmtId="0" fontId="0" fillId="8" borderId="10" xfId="0" applyFill="1" applyBorder="1" applyAlignment="1">
      <alignment horizontal="left" vertical="top"/>
    </xf>
    <xf numFmtId="0" fontId="4" fillId="8" borderId="10" xfId="0" applyFont="1" applyFill="1" applyBorder="1" applyAlignment="1">
      <alignment horizontal="left" vertical="top" wrapText="1"/>
    </xf>
    <xf numFmtId="0" fontId="4" fillId="11" borderId="10" xfId="0" applyFont="1" applyFill="1" applyBorder="1" applyAlignment="1">
      <alignment horizontal="left" vertical="top" wrapText="1"/>
    </xf>
    <xf numFmtId="0" fontId="4" fillId="0" borderId="10" xfId="0" applyFont="1" applyBorder="1" applyAlignment="1">
      <alignment horizontal="left" vertical="top" wrapText="1"/>
    </xf>
    <xf numFmtId="0" fontId="4" fillId="8" borderId="10" xfId="0" applyFont="1" applyFill="1" applyBorder="1" applyAlignment="1">
      <alignment horizontal="left" vertical="top"/>
    </xf>
    <xf numFmtId="0" fontId="0" fillId="0" borderId="10" xfId="0" applyBorder="1" applyAlignment="1">
      <alignment horizontal="left" vertical="top"/>
    </xf>
    <xf numFmtId="0" fontId="8" fillId="0" borderId="10" xfId="0" applyFont="1" applyBorder="1" applyAlignment="1">
      <alignment horizontal="left" vertical="top" wrapText="1"/>
    </xf>
    <xf numFmtId="0" fontId="13" fillId="0" borderId="10" xfId="0" applyFont="1" applyBorder="1" applyAlignment="1">
      <alignment horizontal="left" vertical="top" wrapText="1"/>
    </xf>
    <xf numFmtId="0" fontId="13" fillId="8" borderId="10" xfId="0" applyFont="1" applyFill="1" applyBorder="1" applyAlignment="1">
      <alignment horizontal="left" vertical="top"/>
    </xf>
    <xf numFmtId="0" fontId="13" fillId="11" borderId="45" xfId="0" applyFont="1" applyFill="1" applyBorder="1" applyAlignment="1">
      <alignment horizontal="left" vertical="top" wrapText="1"/>
    </xf>
    <xf numFmtId="0" fontId="40" fillId="0" borderId="10" xfId="3" applyBorder="1" applyAlignment="1">
      <alignment horizontal="left" vertical="top"/>
    </xf>
    <xf numFmtId="0" fontId="40" fillId="9" borderId="10" xfId="3" applyFill="1" applyBorder="1" applyAlignment="1">
      <alignment horizontal="left" vertical="top"/>
    </xf>
    <xf numFmtId="0" fontId="4" fillId="2" borderId="10" xfId="0" applyFont="1" applyFill="1" applyBorder="1" applyAlignment="1">
      <alignment horizontal="left" vertical="top"/>
    </xf>
    <xf numFmtId="0" fontId="40" fillId="8" borderId="1" xfId="3" applyFill="1" applyBorder="1"/>
    <xf numFmtId="0" fontId="40" fillId="0" borderId="1" xfId="3" applyBorder="1" applyAlignment="1">
      <alignment wrapText="1"/>
    </xf>
    <xf numFmtId="0" fontId="40" fillId="0" borderId="1" xfId="3" applyBorder="1"/>
    <xf numFmtId="0" fontId="14" fillId="0" borderId="0" xfId="0" applyFont="1" applyAlignment="1">
      <alignment horizontal="center"/>
    </xf>
    <xf numFmtId="0" fontId="40" fillId="2" borderId="1" xfId="3" applyFill="1" applyBorder="1" applyAlignment="1">
      <alignment horizontal="left" vertical="top" wrapText="1"/>
    </xf>
    <xf numFmtId="0" fontId="40" fillId="2" borderId="10" xfId="3" applyFill="1" applyBorder="1" applyAlignment="1">
      <alignment horizontal="left" vertical="top"/>
    </xf>
    <xf numFmtId="0" fontId="40" fillId="2" borderId="10" xfId="3" applyFill="1" applyBorder="1" applyAlignment="1">
      <alignment horizontal="left" vertical="top" wrapText="1"/>
    </xf>
    <xf numFmtId="0" fontId="40" fillId="2" borderId="1" xfId="3" applyFill="1" applyBorder="1" applyAlignment="1">
      <alignment wrapText="1"/>
    </xf>
    <xf numFmtId="0" fontId="40" fillId="2" borderId="1" xfId="3" applyFill="1" applyBorder="1" applyAlignment="1">
      <alignment horizontal="left" vertical="top"/>
    </xf>
    <xf numFmtId="0" fontId="0" fillId="2" borderId="7" xfId="0" applyFill="1" applyBorder="1" applyAlignment="1">
      <alignment horizontal="left" vertical="center" wrapText="1"/>
    </xf>
    <xf numFmtId="0" fontId="0" fillId="0" borderId="7" xfId="0" applyBorder="1" applyAlignment="1">
      <alignment vertical="center" wrapText="1"/>
    </xf>
    <xf numFmtId="0" fontId="1" fillId="0" borderId="0" xfId="0" applyFont="1"/>
    <xf numFmtId="0" fontId="1" fillId="0" borderId="1" xfId="0" applyFont="1" applyBorder="1"/>
    <xf numFmtId="0" fontId="1" fillId="0" borderId="1" xfId="0" applyFont="1" applyBorder="1" applyAlignment="1">
      <alignment horizontal="left" vertical="top" wrapText="1"/>
    </xf>
    <xf numFmtId="0" fontId="1" fillId="0" borderId="11" xfId="0" applyFont="1" applyBorder="1"/>
    <xf numFmtId="0" fontId="1" fillId="0" borderId="8" xfId="0" applyFont="1" applyBorder="1"/>
    <xf numFmtId="0" fontId="1" fillId="7" borderId="1" xfId="0" applyFont="1" applyFill="1" applyBorder="1" applyAlignment="1">
      <alignment horizontal="center" vertical="center"/>
    </xf>
    <xf numFmtId="1" fontId="1" fillId="5" borderId="16" xfId="0" applyNumberFormat="1" applyFont="1" applyFill="1" applyBorder="1" applyAlignment="1">
      <alignment horizontal="center" vertical="center"/>
    </xf>
    <xf numFmtId="0" fontId="1" fillId="0" borderId="1" xfId="0" applyFont="1" applyBorder="1" applyAlignment="1">
      <alignment horizontal="left" vertical="center"/>
    </xf>
    <xf numFmtId="1" fontId="1" fillId="7" borderId="16" xfId="0" applyNumberFormat="1" applyFont="1" applyFill="1" applyBorder="1" applyAlignment="1">
      <alignment horizontal="center" vertical="center"/>
    </xf>
    <xf numFmtId="0" fontId="1" fillId="7" borderId="2" xfId="0" applyFont="1" applyFill="1" applyBorder="1" applyAlignment="1">
      <alignment horizontal="center" vertical="center"/>
    </xf>
    <xf numFmtId="1" fontId="1" fillId="5" borderId="40" xfId="0" applyNumberFormat="1" applyFont="1" applyFill="1" applyBorder="1" applyAlignment="1">
      <alignment horizontal="center" vertical="center"/>
    </xf>
    <xf numFmtId="0" fontId="1" fillId="0" borderId="0" xfId="0" applyFont="1" applyAlignment="1">
      <alignment horizontal="left" vertical="top" wrapText="1"/>
    </xf>
    <xf numFmtId="165" fontId="1" fillId="0" borderId="0" xfId="0" applyNumberFormat="1" applyFont="1"/>
    <xf numFmtId="0" fontId="9" fillId="0" borderId="0" xfId="0" applyFont="1"/>
    <xf numFmtId="0" fontId="11" fillId="4" borderId="9" xfId="0" applyFont="1" applyFill="1" applyBorder="1" applyAlignment="1">
      <alignment horizontal="center" vertical="center"/>
    </xf>
    <xf numFmtId="165" fontId="9" fillId="0" borderId="9" xfId="0" applyNumberFormat="1" applyFont="1" applyBorder="1" applyAlignment="1">
      <alignment horizontal="center" vertical="center"/>
    </xf>
    <xf numFmtId="1" fontId="9" fillId="5" borderId="42" xfId="0" applyNumberFormat="1" applyFont="1" applyFill="1" applyBorder="1" applyAlignment="1">
      <alignment horizontal="center" vertical="center"/>
    </xf>
    <xf numFmtId="165" fontId="9" fillId="2" borderId="9" xfId="0" applyNumberFormat="1" applyFont="1" applyFill="1" applyBorder="1" applyAlignment="1">
      <alignment horizontal="center" vertical="center"/>
    </xf>
    <xf numFmtId="0" fontId="4" fillId="0" borderId="1" xfId="0" applyFont="1"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left" vertical="center"/>
    </xf>
    <xf numFmtId="0" fontId="0" fillId="5" borderId="16" xfId="0" applyFill="1" applyBorder="1" applyAlignment="1">
      <alignment horizontal="center" vertical="center"/>
    </xf>
    <xf numFmtId="0" fontId="12" fillId="6" borderId="16" xfId="0" applyFont="1" applyFill="1" applyBorder="1" applyAlignment="1">
      <alignment horizontal="center" vertical="center"/>
    </xf>
    <xf numFmtId="0" fontId="12" fillId="6" borderId="0" xfId="0" applyFont="1" applyFill="1" applyAlignment="1">
      <alignment horizontal="center" vertical="center"/>
    </xf>
    <xf numFmtId="164" fontId="12" fillId="6" borderId="0" xfId="0" applyNumberFormat="1" applyFont="1" applyFill="1" applyAlignment="1">
      <alignment horizontal="center" vertical="center"/>
    </xf>
    <xf numFmtId="0" fontId="0" fillId="0" borderId="0" xfId="0" applyAlignment="1">
      <alignment horizontal="center" vertical="center"/>
    </xf>
    <xf numFmtId="0" fontId="0" fillId="0" borderId="0" xfId="0"/>
    <xf numFmtId="0" fontId="0" fillId="0" borderId="9" xfId="0" applyBorder="1" applyAlignment="1">
      <alignment horizontal="center" vertical="center"/>
    </xf>
    <xf numFmtId="0" fontId="0" fillId="7" borderId="0" xfId="0" applyFill="1"/>
    <xf numFmtId="0" fontId="0" fillId="0" borderId="9" xfId="0" applyBorder="1" applyAlignment="1">
      <alignment horizontal="left" vertical="center"/>
    </xf>
    <xf numFmtId="165" fontId="0" fillId="0" borderId="0" xfId="0" applyNumberFormat="1"/>
    <xf numFmtId="164" fontId="0" fillId="0" borderId="0" xfId="0" applyNumberFormat="1"/>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2" fillId="0" borderId="0" xfId="0" applyFont="1"/>
    <xf numFmtId="165" fontId="2" fillId="0" borderId="0" xfId="0" applyNumberFormat="1" applyFont="1"/>
    <xf numFmtId="0" fontId="9" fillId="0" borderId="0" xfId="0" applyFont="1" applyAlignment="1">
      <alignment horizontal="center" vertical="center"/>
    </xf>
    <xf numFmtId="0" fontId="0" fillId="0" borderId="1" xfId="0" applyBorder="1" applyAlignment="1">
      <alignment horizontal="left" vertical="center" wrapText="1"/>
    </xf>
    <xf numFmtId="0" fontId="0" fillId="0" borderId="17" xfId="0" applyBorder="1"/>
    <xf numFmtId="0" fontId="0" fillId="0" borderId="7" xfId="0" applyBorder="1"/>
    <xf numFmtId="0" fontId="0" fillId="0" borderId="1" xfId="0" applyBorder="1" applyAlignment="1">
      <alignment horizontal="left" vertical="center"/>
    </xf>
    <xf numFmtId="0" fontId="3" fillId="0" borderId="15" xfId="0" applyFont="1" applyBorder="1" applyAlignment="1">
      <alignment horizontal="center"/>
    </xf>
    <xf numFmtId="0" fontId="0" fillId="0" borderId="15" xfId="0" applyBorder="1"/>
    <xf numFmtId="0" fontId="4" fillId="0" borderId="1" xfId="0" applyFont="1" applyBorder="1" applyAlignment="1">
      <alignment horizontal="left" vertical="center" wrapText="1"/>
    </xf>
    <xf numFmtId="0" fontId="3" fillId="3" borderId="15" xfId="0" applyFont="1" applyFill="1" applyBorder="1" applyAlignment="1">
      <alignment horizontal="center" vertical="center"/>
    </xf>
    <xf numFmtId="0" fontId="11" fillId="4" borderId="36" xfId="2" applyFont="1" applyBorder="1" applyAlignment="1">
      <alignment horizontal="center" vertical="center"/>
    </xf>
    <xf numFmtId="0" fontId="0" fillId="5" borderId="16" xfId="0" applyFill="1" applyBorder="1" applyAlignment="1">
      <alignment horizontal="center" vertical="center"/>
    </xf>
    <xf numFmtId="0" fontId="12" fillId="6" borderId="16" xfId="0" applyFont="1" applyFill="1" applyBorder="1" applyAlignment="1">
      <alignment horizontal="center" vertical="center"/>
    </xf>
    <xf numFmtId="0" fontId="12" fillId="6" borderId="0" xfId="0" applyFont="1" applyFill="1" applyAlignment="1">
      <alignment horizontal="center" vertical="center"/>
    </xf>
    <xf numFmtId="164" fontId="12" fillId="6" borderId="0" xfId="0" applyNumberFormat="1" applyFont="1" applyFill="1" applyAlignment="1">
      <alignment horizontal="center" vertical="center"/>
    </xf>
    <xf numFmtId="0" fontId="0" fillId="0" borderId="0" xfId="0" applyAlignment="1">
      <alignment horizontal="center" vertical="center"/>
    </xf>
    <xf numFmtId="0" fontId="9" fillId="0" borderId="0" xfId="0" applyFont="1"/>
    <xf numFmtId="0" fontId="0" fillId="0" borderId="0" xfId="0"/>
    <xf numFmtId="0" fontId="0" fillId="2" borderId="1" xfId="0" applyFill="1" applyBorder="1" applyAlignment="1">
      <alignment horizontal="left" vertical="center" wrapText="1"/>
    </xf>
    <xf numFmtId="0" fontId="0" fillId="0" borderId="1" xfId="0" applyBorder="1" applyAlignment="1">
      <alignment vertical="center" wrapText="1"/>
    </xf>
    <xf numFmtId="0" fontId="3" fillId="0" borderId="23" xfId="0" applyFont="1" applyBorder="1" applyAlignment="1">
      <alignment horizontal="center"/>
    </xf>
    <xf numFmtId="0" fontId="0" fillId="0" borderId="46" xfId="0" applyBorder="1"/>
    <xf numFmtId="0" fontId="0" fillId="0" borderId="47" xfId="0" applyBorder="1"/>
    <xf numFmtId="0" fontId="11" fillId="4" borderId="37" xfId="2" applyFont="1" applyBorder="1" applyAlignment="1">
      <alignment horizontal="center" vertical="center"/>
    </xf>
    <xf numFmtId="0" fontId="0" fillId="0" borderId="26" xfId="0" applyBorder="1"/>
    <xf numFmtId="0" fontId="0" fillId="0" borderId="9" xfId="0" applyBorder="1" applyAlignment="1">
      <alignment horizontal="center" vertical="center"/>
    </xf>
    <xf numFmtId="0" fontId="0" fillId="0" borderId="43" xfId="0" applyBorder="1"/>
    <xf numFmtId="0" fontId="0" fillId="0" borderId="39" xfId="0" applyBorder="1"/>
    <xf numFmtId="0" fontId="3" fillId="3" borderId="0" xfId="0" applyFont="1" applyFill="1" applyAlignment="1">
      <alignment horizontal="center" vertical="center"/>
    </xf>
    <xf numFmtId="0" fontId="0" fillId="7" borderId="0" xfId="0" applyFill="1"/>
    <xf numFmtId="0" fontId="0" fillId="0" borderId="9" xfId="0" applyBorder="1" applyAlignment="1">
      <alignment horizontal="left" vertical="center"/>
    </xf>
    <xf numFmtId="165" fontId="11" fillId="4" borderId="36" xfId="2" applyNumberFormat="1" applyFont="1" applyBorder="1" applyAlignment="1">
      <alignment horizontal="center" vertical="center"/>
    </xf>
    <xf numFmtId="165" fontId="0" fillId="0" borderId="0" xfId="0" applyNumberFormat="1"/>
    <xf numFmtId="164" fontId="0" fillId="0" borderId="0" xfId="0" applyNumberFormat="1"/>
    <xf numFmtId="0" fontId="14" fillId="0" borderId="15" xfId="0" applyFont="1" applyBorder="1" applyAlignment="1">
      <alignment horizontal="center"/>
    </xf>
    <xf numFmtId="0" fontId="1" fillId="0" borderId="1" xfId="0" applyFont="1" applyBorder="1" applyAlignment="1">
      <alignment horizontal="center" vertical="center"/>
    </xf>
    <xf numFmtId="165" fontId="17" fillId="4" borderId="36" xfId="2" applyNumberFormat="1" applyFont="1" applyBorder="1" applyAlignment="1">
      <alignment horizontal="center" vertical="center"/>
    </xf>
    <xf numFmtId="0" fontId="2" fillId="0" borderId="0" xfId="0" applyFont="1"/>
    <xf numFmtId="165" fontId="2" fillId="0" borderId="0" xfId="0" applyNumberFormat="1" applyFont="1"/>
    <xf numFmtId="0" fontId="14" fillId="3" borderId="15" xfId="0" applyFont="1" applyFill="1" applyBorder="1" applyAlignment="1">
      <alignment horizontal="center" vertical="center"/>
    </xf>
    <xf numFmtId="0" fontId="1" fillId="0" borderId="1" xfId="0" applyFont="1" applyBorder="1" applyAlignment="1">
      <alignment horizontal="center" vertical="center" wrapText="1"/>
    </xf>
    <xf numFmtId="0" fontId="5" fillId="0" borderId="1" xfId="0" applyFont="1" applyBorder="1" applyAlignment="1">
      <alignment horizontal="center" vertical="center" wrapText="1"/>
    </xf>
    <xf numFmtId="0" fontId="0" fillId="0" borderId="4" xfId="0" applyBorder="1" applyAlignment="1">
      <alignment horizontal="left" vertical="center"/>
    </xf>
    <xf numFmtId="0" fontId="0" fillId="0" borderId="0" xfId="0" applyAlignment="1">
      <alignment horizontal="center"/>
    </xf>
  </cellXfs>
  <cellStyles count="4">
    <cellStyle name="Good" xfId="2" builtinId="26"/>
    <cellStyle name="Hyperlink" xfId="3"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octopusdtlsupport.atlassian.net/browse/O2-697" TargetMode="External"/><Relationship Id="rId13" Type="http://schemas.openxmlformats.org/officeDocument/2006/relationships/hyperlink" Target="https://octopusdtlsupport.atlassian.net/browse/O2-2296" TargetMode="External"/><Relationship Id="rId3" Type="http://schemas.openxmlformats.org/officeDocument/2006/relationships/hyperlink" Target="https://octopusdtlsupport.atlassian.net/browse/O2-2189" TargetMode="External"/><Relationship Id="rId7" Type="http://schemas.openxmlformats.org/officeDocument/2006/relationships/hyperlink" Target="https://octopusdtlsupport.atlassian.net/browse/O2-2186" TargetMode="External"/><Relationship Id="rId12" Type="http://schemas.openxmlformats.org/officeDocument/2006/relationships/hyperlink" Target="https://octopusdtlsupport.atlassian.net/browse/O2-2280" TargetMode="External"/><Relationship Id="rId17" Type="http://schemas.openxmlformats.org/officeDocument/2006/relationships/hyperlink" Target="https://octopusdtlsupport.atlassian.net/browse/O2-1976" TargetMode="External"/><Relationship Id="rId2" Type="http://schemas.openxmlformats.org/officeDocument/2006/relationships/hyperlink" Target="https://octopusdtlsupport.atlassian.net/browse/O2-2188" TargetMode="External"/><Relationship Id="rId16" Type="http://schemas.openxmlformats.org/officeDocument/2006/relationships/hyperlink" Target="https://octopusdtlsupport.atlassian.net/browse/O2-36" TargetMode="External"/><Relationship Id="rId1" Type="http://schemas.openxmlformats.org/officeDocument/2006/relationships/hyperlink" Target="https://octopusdtlsupport.atlassian.net/browse/O2-793" TargetMode="External"/><Relationship Id="rId6" Type="http://schemas.openxmlformats.org/officeDocument/2006/relationships/hyperlink" Target="https://octopusdtlsupport.atlassian.net/browse/O2-1991" TargetMode="External"/><Relationship Id="rId11" Type="http://schemas.openxmlformats.org/officeDocument/2006/relationships/hyperlink" Target="https://octopusdtlsupport.atlassian.net/browse/O2-2279" TargetMode="External"/><Relationship Id="rId5" Type="http://schemas.openxmlformats.org/officeDocument/2006/relationships/hyperlink" Target="https://octopusdtlsupport.atlassian.net/browse/O2-2269" TargetMode="External"/><Relationship Id="rId15" Type="http://schemas.openxmlformats.org/officeDocument/2006/relationships/hyperlink" Target="https://octopusdtlsupport.atlassian.net/browse/O2-456" TargetMode="External"/><Relationship Id="rId10" Type="http://schemas.openxmlformats.org/officeDocument/2006/relationships/hyperlink" Target="https://octopusdtlsupport.atlassian.net/browse/O2-2278" TargetMode="External"/><Relationship Id="rId4" Type="http://schemas.openxmlformats.org/officeDocument/2006/relationships/hyperlink" Target="https://octopusdtlsupport.atlassian.net/browse/O2-2190" TargetMode="External"/><Relationship Id="rId9" Type="http://schemas.openxmlformats.org/officeDocument/2006/relationships/hyperlink" Target="https://octopusdtlsupport.atlassian.net/browse/O2-2277" TargetMode="External"/><Relationship Id="rId14" Type="http://schemas.openxmlformats.org/officeDocument/2006/relationships/hyperlink" Target="https://octopusdtlsupport.atlassian.net/browse/O2-2321"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octopusdtlsupport.atlassian.net/browse/FF-274" TargetMode="External"/><Relationship Id="rId3" Type="http://schemas.openxmlformats.org/officeDocument/2006/relationships/hyperlink" Target="https://octopusdtlsupport.atlassian.net/browse/FF-512" TargetMode="External"/><Relationship Id="rId7" Type="http://schemas.openxmlformats.org/officeDocument/2006/relationships/hyperlink" Target="https://octopusdtlsupport.atlassian.net/browse/FF-498" TargetMode="External"/><Relationship Id="rId2" Type="http://schemas.openxmlformats.org/officeDocument/2006/relationships/hyperlink" Target="https://octopusdtlsupport.atlassian.net/browse/FF-446" TargetMode="External"/><Relationship Id="rId1" Type="http://schemas.openxmlformats.org/officeDocument/2006/relationships/hyperlink" Target="https://octopusdtlsupport.atlassian.net/browse/FF-541" TargetMode="External"/><Relationship Id="rId6" Type="http://schemas.openxmlformats.org/officeDocument/2006/relationships/hyperlink" Target="https://octopusdtlsupport.atlassian.net/browse/FF-312" TargetMode="External"/><Relationship Id="rId5" Type="http://schemas.openxmlformats.org/officeDocument/2006/relationships/hyperlink" Target="https://octopusdtlsupport.atlassian.net/browse/FF-302" TargetMode="External"/><Relationship Id="rId4" Type="http://schemas.openxmlformats.org/officeDocument/2006/relationships/hyperlink" Target="https://octopusdtlsupport.atlassian.net/browse/FF-517" TargetMode="External"/><Relationship Id="rId9" Type="http://schemas.openxmlformats.org/officeDocument/2006/relationships/hyperlink" Target="https://octopusdtlsupport.atlassian.net/browse/FF-542"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octopusdtlsupport.atlassian.net/browse/MN-32" TargetMode="External"/><Relationship Id="rId3" Type="http://schemas.openxmlformats.org/officeDocument/2006/relationships/hyperlink" Target="https://octopusdtlsupport.atlassian.net/browse/MN-75" TargetMode="External"/><Relationship Id="rId7" Type="http://schemas.openxmlformats.org/officeDocument/2006/relationships/hyperlink" Target="https://octopusdtlsupport.atlassian.net/browse/MN-29" TargetMode="External"/><Relationship Id="rId2" Type="http://schemas.openxmlformats.org/officeDocument/2006/relationships/hyperlink" Target="https://octopusdtlsupport.atlassian.net/browse/MN-30" TargetMode="External"/><Relationship Id="rId1" Type="http://schemas.openxmlformats.org/officeDocument/2006/relationships/hyperlink" Target="https://octopusdtlsupport.atlassian.net/browse/O2-1461" TargetMode="External"/><Relationship Id="rId6" Type="http://schemas.openxmlformats.org/officeDocument/2006/relationships/hyperlink" Target="https://octopusdtlsupport.atlassian.net/browse/MN-153" TargetMode="External"/><Relationship Id="rId11" Type="http://schemas.openxmlformats.org/officeDocument/2006/relationships/hyperlink" Target="https://octopusdtlsupport.atlassian.net/browse/MN-78" TargetMode="External"/><Relationship Id="rId5" Type="http://schemas.openxmlformats.org/officeDocument/2006/relationships/hyperlink" Target="https://octopusdtlsupport.atlassian.net/browse/MN-77" TargetMode="External"/><Relationship Id="rId10" Type="http://schemas.openxmlformats.org/officeDocument/2006/relationships/hyperlink" Target="https://octopusdtlsupport.atlassian.net/browse/MN-53" TargetMode="External"/><Relationship Id="rId4" Type="http://schemas.openxmlformats.org/officeDocument/2006/relationships/hyperlink" Target="https://octopusdtlsupport.atlassian.net/browse/MN-76" TargetMode="External"/><Relationship Id="rId9" Type="http://schemas.openxmlformats.org/officeDocument/2006/relationships/hyperlink" Target="https://octopusdtlsupport.atlassian.net/browse/MN-31"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octopusdtlsupport.atlassian.net/browse/DIGITALLOG-222" TargetMode="External"/><Relationship Id="rId2" Type="http://schemas.openxmlformats.org/officeDocument/2006/relationships/hyperlink" Target="https://octopusdtlsupport.atlassian.net/browse/DIGITALLOG-223" TargetMode="External"/><Relationship Id="rId1" Type="http://schemas.openxmlformats.org/officeDocument/2006/relationships/hyperlink" Target="https://octopusdtlsupport.atlassian.net/browse/DIGITALLOG-221" TargetMode="External"/><Relationship Id="rId4" Type="http://schemas.openxmlformats.org/officeDocument/2006/relationships/hyperlink" Target="https://octopusdtlsupport.atlassian.net/browse/DIGITALLOG-25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14"/>
  <sheetViews>
    <sheetView showGridLines="0" topLeftCell="A6" workbookViewId="0">
      <selection activeCell="D10" sqref="D10"/>
    </sheetView>
  </sheetViews>
  <sheetFormatPr defaultColWidth="24" defaultRowHeight="24.75" customHeight="1"/>
  <cols>
    <col min="3" max="3" width="41.44140625" style="276" customWidth="1"/>
    <col min="4" max="4" width="38.44140625" style="276" customWidth="1"/>
    <col min="5" max="5" width="48.88671875" style="276" customWidth="1"/>
    <col min="6" max="7" width="38.44140625" style="276" customWidth="1"/>
  </cols>
  <sheetData>
    <row r="2" spans="2:8" ht="24.75" customHeight="1">
      <c r="F2" s="105" t="s">
        <v>0</v>
      </c>
      <c r="G2" s="106" t="s">
        <v>1</v>
      </c>
    </row>
    <row r="3" spans="2:8" ht="24.75" customHeight="1">
      <c r="F3" s="107" t="s">
        <v>2</v>
      </c>
      <c r="G3" s="106" t="s">
        <v>3</v>
      </c>
    </row>
    <row r="4" spans="2:8" ht="24.75" customHeight="1">
      <c r="F4" s="108" t="s">
        <v>4</v>
      </c>
      <c r="G4" s="106" t="s">
        <v>5</v>
      </c>
    </row>
    <row r="5" spans="2:8" ht="17.25" customHeight="1">
      <c r="F5" s="104" t="s">
        <v>6</v>
      </c>
      <c r="G5" s="106" t="s">
        <v>7</v>
      </c>
    </row>
    <row r="6" spans="2:8" ht="30" customHeight="1">
      <c r="B6" s="212" t="s">
        <v>8</v>
      </c>
    </row>
    <row r="7" spans="2:8" ht="24.75" customHeight="1">
      <c r="E7" s="156" t="str">
        <f>"50%"</f>
        <v>50%</v>
      </c>
      <c r="F7" s="156" t="str">
        <f>"10%"</f>
        <v>10%</v>
      </c>
    </row>
    <row r="8" spans="2:8" ht="42.75" customHeight="1">
      <c r="B8" s="135" t="s">
        <v>9</v>
      </c>
      <c r="C8" s="135" t="s">
        <v>10</v>
      </c>
      <c r="D8" s="136" t="s">
        <v>11</v>
      </c>
      <c r="E8" s="137" t="str">
        <f>"Optimistic Man-days ("&amp;E7&amp;")"</f>
        <v>Optimistic Man-days (50%)</v>
      </c>
      <c r="F8" s="138" t="str">
        <f>"Pessimistic ("&amp; F7&amp;")"</f>
        <v>Pessimistic (10%)</v>
      </c>
      <c r="G8" s="139" t="s">
        <v>6</v>
      </c>
      <c r="H8" s="183" t="s">
        <v>12</v>
      </c>
    </row>
    <row r="9" spans="2:8" ht="42.75" customHeight="1">
      <c r="B9" s="154">
        <f>COUNTA('OmniConnect RMI'!D:D)</f>
        <v>51</v>
      </c>
      <c r="C9" s="140" t="s">
        <v>13</v>
      </c>
      <c r="D9" s="141">
        <f>SUM('OmniConnect RMI'!V:V)</f>
        <v>810</v>
      </c>
      <c r="E9" s="142">
        <f>SUM('OmniConnect RMI'!W:W)</f>
        <v>405</v>
      </c>
      <c r="F9" s="143">
        <f>SUM('OmniConnect RMI'!X:X)</f>
        <v>1012.5</v>
      </c>
      <c r="G9" s="144">
        <f>SUM('OmniConnect RMI'!Y:Y)</f>
        <v>776.25000000000011</v>
      </c>
      <c r="H9" s="184">
        <f>G9/2</f>
        <v>388.12500000000006</v>
      </c>
    </row>
    <row r="10" spans="2:8" ht="42.75" customHeight="1">
      <c r="B10" s="155">
        <f>COUNTA('Fintech Fuel RMI'!D:D)</f>
        <v>54</v>
      </c>
      <c r="C10" s="145" t="s">
        <v>14</v>
      </c>
      <c r="D10" s="146">
        <f>SUM('Fintech Fuel RMI'!V:V)</f>
        <v>1210</v>
      </c>
      <c r="E10" s="147">
        <f>SUM('Fintech Fuel RMI'!W:W)</f>
        <v>605</v>
      </c>
      <c r="F10" s="148">
        <f>SUM('Fintech Fuel RMI'!X:X)</f>
        <v>1330.9999999999995</v>
      </c>
      <c r="G10" s="149">
        <f>SUM('Fintech Fuel RMI'!Y:Y)</f>
        <v>1129.3333333333335</v>
      </c>
      <c r="H10" s="184">
        <f>G10/2</f>
        <v>564.66666666666674</v>
      </c>
    </row>
    <row r="11" spans="2:8" ht="42.75" customHeight="1">
      <c r="B11" s="155">
        <f>COUNTA('OmniChat RMI'!D:D)</f>
        <v>14</v>
      </c>
      <c r="C11" s="145" t="s">
        <v>15</v>
      </c>
      <c r="D11" s="146">
        <f>SUM('OmniChat RMI'!V:V)</f>
        <v>413</v>
      </c>
      <c r="E11" s="147">
        <f>SUM('OmniChat RMI'!W:W)</f>
        <v>206.5</v>
      </c>
      <c r="F11" s="148">
        <f>SUM('OmniChat RMI'!X:X)</f>
        <v>454.30000000000007</v>
      </c>
      <c r="G11" s="149">
        <f>SUM('OmniChat RMI'!Y:Y)</f>
        <v>400.4666666666667</v>
      </c>
      <c r="H11" s="184">
        <f>G11/2</f>
        <v>200.23333333333335</v>
      </c>
    </row>
    <row r="12" spans="2:8" ht="42.75" customHeight="1">
      <c r="B12" s="155">
        <f>COUNTA('Digital Log RMI'!D:D)</f>
        <v>31</v>
      </c>
      <c r="C12" s="145" t="s">
        <v>16</v>
      </c>
      <c r="D12" s="146">
        <f>SUM('Digital Log RMI'!V:V)</f>
        <v>972</v>
      </c>
      <c r="E12" s="147">
        <f>SUM('Digital Log RMI'!W:W)</f>
        <v>486</v>
      </c>
      <c r="F12" s="148">
        <f>SUM('Digital Log RMI'!X:X)</f>
        <v>1215</v>
      </c>
      <c r="G12" s="149">
        <f>SUM('Digital Log RMI'!Y:Y)</f>
        <v>931.5</v>
      </c>
      <c r="H12" s="184">
        <f>G12/2</f>
        <v>465.75</v>
      </c>
    </row>
    <row r="13" spans="2:8" ht="42.75" customHeight="1">
      <c r="B13" s="205"/>
      <c r="C13" s="135" t="s">
        <v>17</v>
      </c>
      <c r="D13" s="210">
        <v>176</v>
      </c>
      <c r="E13" s="206">
        <v>88</v>
      </c>
      <c r="F13" s="207">
        <v>193.6</v>
      </c>
      <c r="G13" s="208">
        <v>164.26666666666671</v>
      </c>
      <c r="H13" s="209">
        <f>G13</f>
        <v>164.26666666666671</v>
      </c>
    </row>
    <row r="14" spans="2:8" ht="24.75" customHeight="1">
      <c r="C14" s="150" t="s">
        <v>18</v>
      </c>
      <c r="D14" s="211">
        <f>SUM(D9:D12,D13)</f>
        <v>3581</v>
      </c>
      <c r="E14" s="151">
        <f>SUM(E9:E12,E13)</f>
        <v>1790.5</v>
      </c>
      <c r="F14" s="152">
        <f>SUM(F9:F12,F13)</f>
        <v>4206.3999999999996</v>
      </c>
      <c r="G14" s="153">
        <f>SUM(G9:G12,G13)</f>
        <v>3401.8166666666671</v>
      </c>
      <c r="H14" s="185">
        <f>SUM(H9:H12,H13)</f>
        <v>1783.0416666666667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53"/>
  <sheetViews>
    <sheetView zoomScaleNormal="100" workbookViewId="0">
      <pane xSplit="6" ySplit="2" topLeftCell="Z25" activePane="bottomRight" state="frozen"/>
      <selection pane="topRight" activeCell="E1" sqref="E1"/>
      <selection pane="bottomLeft" activeCell="A3" sqref="A3"/>
      <selection pane="bottomRight" activeCell="D31" sqref="D31"/>
    </sheetView>
  </sheetViews>
  <sheetFormatPr defaultRowHeight="18" customHeight="1"/>
  <cols>
    <col min="1" max="1" width="4.6640625" style="276" customWidth="1"/>
    <col min="2" max="2" width="14" style="276" bestFit="1" customWidth="1"/>
    <col min="3" max="3" width="26.109375" style="19" bestFit="1" customWidth="1"/>
    <col min="4" max="4" width="60.88671875" style="52" customWidth="1"/>
    <col min="5" max="5" width="15.5546875" style="52" customWidth="1"/>
    <col min="6" max="6" width="12.6640625" style="276" bestFit="1" customWidth="1"/>
    <col min="7" max="7" width="10.5546875" style="276" bestFit="1" customWidth="1"/>
    <col min="8" max="11" width="7.33203125" style="275" bestFit="1" customWidth="1"/>
    <col min="12" max="12" width="10.44140625" style="275" bestFit="1" customWidth="1"/>
    <col min="13" max="13" width="9.88671875" style="275" bestFit="1" customWidth="1"/>
    <col min="14" max="15" width="6.44140625" style="275" bestFit="1" customWidth="1"/>
    <col min="16" max="16" width="4.33203125" style="275" bestFit="1" customWidth="1"/>
    <col min="17" max="17" width="4.5546875" style="275" bestFit="1" customWidth="1"/>
    <col min="18" max="18" width="7.6640625" style="275" bestFit="1" customWidth="1"/>
    <col min="19" max="19" width="4.33203125" style="275" bestFit="1" customWidth="1"/>
    <col min="20" max="20" width="8.33203125" style="275" bestFit="1" customWidth="1"/>
    <col min="21" max="21" width="7.6640625" style="275" bestFit="1" customWidth="1"/>
    <col min="22" max="22" width="9.33203125" style="275" bestFit="1" customWidth="1"/>
    <col min="23" max="23" width="15.33203125" style="271" bestFit="1" customWidth="1"/>
    <col min="24" max="24" width="16" style="271" bestFit="1" customWidth="1"/>
    <col min="25" max="25" width="11" style="272" bestFit="1" customWidth="1"/>
    <col min="26" max="26" width="11" style="273" customWidth="1"/>
    <col min="27" max="27" width="18" style="274" customWidth="1"/>
    <col min="28" max="30" width="11" style="274" customWidth="1"/>
    <col min="31" max="31" width="10.44140625" style="275" bestFit="1" customWidth="1"/>
    <col min="32" max="32" width="11.33203125" style="275" bestFit="1" customWidth="1"/>
    <col min="33" max="33" width="12.5546875" style="275" bestFit="1" customWidth="1"/>
    <col min="34" max="34" width="10.109375" style="275" bestFit="1" customWidth="1"/>
    <col min="35" max="35" width="10.44140625" style="275" bestFit="1" customWidth="1"/>
    <col min="36" max="36" width="14" style="275" bestFit="1" customWidth="1"/>
    <col min="37" max="37" width="10.109375" style="275" bestFit="1" customWidth="1"/>
    <col min="38" max="38" width="14.44140625" style="275" bestFit="1" customWidth="1"/>
    <col min="39" max="39" width="8" style="275" bestFit="1" customWidth="1"/>
    <col min="41" max="41" width="84.44140625" style="276" bestFit="1" customWidth="1"/>
  </cols>
  <sheetData>
    <row r="1" spans="1:43" ht="15" customHeight="1">
      <c r="A1" s="291" t="s">
        <v>19</v>
      </c>
      <c r="B1" s="292"/>
      <c r="C1" s="292"/>
      <c r="D1" s="292"/>
      <c r="E1" s="217"/>
      <c r="F1" s="7"/>
      <c r="G1" s="7"/>
      <c r="H1" s="39" t="s">
        <v>20</v>
      </c>
      <c r="I1" s="39" t="s">
        <v>21</v>
      </c>
      <c r="J1" s="39" t="s">
        <v>22</v>
      </c>
      <c r="K1" s="39" t="s">
        <v>23</v>
      </c>
      <c r="L1" s="40"/>
      <c r="M1" s="294" t="s">
        <v>24</v>
      </c>
      <c r="N1" s="292"/>
      <c r="O1" s="292"/>
      <c r="P1" s="292"/>
      <c r="Q1" s="292"/>
      <c r="R1" s="292"/>
      <c r="S1" s="292"/>
      <c r="T1" s="292"/>
      <c r="U1" s="292"/>
      <c r="V1" s="292"/>
      <c r="W1" s="295" t="s">
        <v>25</v>
      </c>
      <c r="X1" s="296"/>
      <c r="Y1" s="297"/>
      <c r="Z1" s="298"/>
      <c r="AA1" s="299"/>
      <c r="AB1" s="299"/>
      <c r="AC1" s="299"/>
      <c r="AD1" s="299"/>
      <c r="AE1" s="300"/>
      <c r="AF1" s="300"/>
      <c r="AG1" s="300"/>
      <c r="AH1" s="300"/>
      <c r="AI1" s="301"/>
      <c r="AJ1" s="300"/>
      <c r="AK1" s="300"/>
      <c r="AL1" s="300"/>
      <c r="AM1" s="300"/>
      <c r="AN1" s="302"/>
      <c r="AO1" s="302"/>
      <c r="AQ1" t="s">
        <v>26</v>
      </c>
    </row>
    <row r="2" spans="1:43" ht="15" customHeight="1">
      <c r="A2" s="3" t="s">
        <v>27</v>
      </c>
      <c r="B2" s="3" t="s">
        <v>28</v>
      </c>
      <c r="C2" s="32" t="s">
        <v>29</v>
      </c>
      <c r="D2" s="49" t="s">
        <v>30</v>
      </c>
      <c r="E2" s="49" t="s">
        <v>31</v>
      </c>
      <c r="F2" s="3" t="s">
        <v>32</v>
      </c>
      <c r="G2" s="3" t="s">
        <v>33</v>
      </c>
      <c r="H2" s="41" t="s">
        <v>34</v>
      </c>
      <c r="I2" s="41" t="s">
        <v>34</v>
      </c>
      <c r="J2" s="41" t="s">
        <v>34</v>
      </c>
      <c r="K2" s="41" t="s">
        <v>34</v>
      </c>
      <c r="L2" s="39" t="s">
        <v>35</v>
      </c>
      <c r="M2" s="42" t="s">
        <v>36</v>
      </c>
      <c r="N2" s="42" t="s">
        <v>37</v>
      </c>
      <c r="O2" s="42" t="s">
        <v>38</v>
      </c>
      <c r="P2" s="42" t="s">
        <v>39</v>
      </c>
      <c r="Q2" s="42" t="s">
        <v>40</v>
      </c>
      <c r="R2" s="42" t="s">
        <v>41</v>
      </c>
      <c r="S2" s="42" t="s">
        <v>42</v>
      </c>
      <c r="T2" s="42" t="s">
        <v>43</v>
      </c>
      <c r="U2" s="42" t="s">
        <v>44</v>
      </c>
      <c r="V2" s="43" t="s">
        <v>45</v>
      </c>
      <c r="W2" s="167" t="str">
        <f>"Optimistic ("&amp;Summary!E7&amp;")"</f>
        <v>Optimistic (50%)</v>
      </c>
      <c r="X2" s="167" t="s">
        <v>46</v>
      </c>
      <c r="Y2" s="168" t="s">
        <v>47</v>
      </c>
      <c r="Z2" s="193" t="s">
        <v>48</v>
      </c>
      <c r="AA2" s="161" t="s">
        <v>49</v>
      </c>
      <c r="AB2" s="161" t="s">
        <v>50</v>
      </c>
      <c r="AC2" s="161" t="s">
        <v>51</v>
      </c>
      <c r="AD2" s="161" t="s">
        <v>52</v>
      </c>
      <c r="AE2" s="194" t="s">
        <v>36</v>
      </c>
      <c r="AF2" s="73" t="s">
        <v>53</v>
      </c>
      <c r="AG2" s="73" t="s">
        <v>54</v>
      </c>
      <c r="AH2" s="73" t="s">
        <v>55</v>
      </c>
      <c r="AI2" s="264" t="s">
        <v>56</v>
      </c>
      <c r="AJ2" s="73" t="s">
        <v>57</v>
      </c>
      <c r="AK2" s="264" t="s">
        <v>58</v>
      </c>
      <c r="AL2" s="194" t="s">
        <v>41</v>
      </c>
      <c r="AM2" s="73" t="s">
        <v>59</v>
      </c>
      <c r="AN2" s="73" t="s">
        <v>60</v>
      </c>
      <c r="AO2" s="194" t="s">
        <v>44</v>
      </c>
    </row>
    <row r="3" spans="1:43" ht="15" customHeight="1">
      <c r="A3" s="1">
        <v>1</v>
      </c>
      <c r="B3" s="290" t="s">
        <v>61</v>
      </c>
      <c r="C3" s="287" t="s">
        <v>62</v>
      </c>
      <c r="D3" s="189" t="s">
        <v>63</v>
      </c>
      <c r="E3" s="218" t="s">
        <v>64</v>
      </c>
      <c r="F3" s="1" t="s">
        <v>65</v>
      </c>
      <c r="G3" s="1"/>
      <c r="H3" s="24">
        <v>1</v>
      </c>
      <c r="I3" s="24"/>
      <c r="J3" s="24"/>
      <c r="K3" s="24">
        <v>1</v>
      </c>
      <c r="L3" s="24" t="s">
        <v>66</v>
      </c>
      <c r="M3" s="24"/>
      <c r="N3" s="24">
        <v>2</v>
      </c>
      <c r="O3" s="24">
        <v>20</v>
      </c>
      <c r="P3" s="24">
        <v>40</v>
      </c>
      <c r="Q3" s="24">
        <v>20</v>
      </c>
      <c r="R3" s="24"/>
      <c r="S3" s="24">
        <v>0</v>
      </c>
      <c r="T3" s="24">
        <v>2</v>
      </c>
      <c r="U3" s="24"/>
      <c r="V3" s="44">
        <f t="shared" ref="V3:V9" si="0">SUM(M3:U3)</f>
        <v>84</v>
      </c>
      <c r="W3" s="165">
        <f t="shared" ref="W3:W34" si="1">V3 - (V3 * (SUBSTITUTE(SUBSTITUTE($W$2, "Optimistic (", ""), "%)", "") / 100))</f>
        <v>42</v>
      </c>
      <c r="X3" s="165">
        <f t="shared" ref="X3:X34" si="2">V3 + (W3 * (SUBSTITUTE(SUBSTITUTE($W$2, "Optimistic (", ""), "%)", "") / 100))</f>
        <v>105</v>
      </c>
      <c r="Y3" s="169">
        <f t="shared" ref="Y3:Y34" si="3">(W3+(4*V3)+X3)/6</f>
        <v>80.5</v>
      </c>
      <c r="Z3" s="193">
        <f t="shared" ref="Z3:Z34" si="4">Y3/2</f>
        <v>40.25</v>
      </c>
      <c r="AA3" s="173"/>
      <c r="AB3" s="173"/>
      <c r="AC3" s="173"/>
      <c r="AD3" s="173">
        <f>AC3+5</f>
        <v>5</v>
      </c>
      <c r="AE3" s="192">
        <f t="shared" ref="AE3:AE34" si="5">IF($Z3="",0,IF($M3="",0,$M3))</f>
        <v>0</v>
      </c>
      <c r="AF3" s="192">
        <f t="shared" ref="AF3:AF34" si="6">IF(OR($Z3="",$N3=""),0,$Z3*5%)</f>
        <v>2.0125000000000002</v>
      </c>
      <c r="AG3" s="192">
        <f t="shared" ref="AG3:AG34" si="7">IF(OR($Z3="",$O3=""),0,$Z3*10%)</f>
        <v>4.0250000000000004</v>
      </c>
      <c r="AH3" s="192">
        <f t="shared" ref="AH3:AH34" si="8">IF($Z3="",0,IF(AND($P3="",$Q3=""),($Z3-$AE3-$AF3-$AG3-$AI3-$AK3-$AL3-$AM3-$AN3-$AO3),IF($P3="",0,IF($Q3="",($Z3-$AE3-$AF3-$AG3-$AI3-$AK3-$AL3-$AM3-$AN3-$AO3),($Z3-$AE3-$AF3-$AG3-$AI3-$AK3-$AL3-$AM3-$AN3-$AO3)*40%/(40%+15%)))))</f>
        <v>15.736363636363635</v>
      </c>
      <c r="AI3" s="265">
        <f t="shared" ref="AI3:AI34" si="9">IF($Z3="",0,IF($P3="",0,0.5))</f>
        <v>0.5</v>
      </c>
      <c r="AJ3" s="192">
        <f t="shared" ref="AJ3:AJ34" si="10">IF($Z3="",0,IF(AND($P3="",$Q3=""),0,IF($Q3="",0,IF($P3="",($Z3-$AE3-$AF3-$AG3-$AI3-$AK3-$AL3-$AM3-$AN3-$AO3),($Z3-$AE3-$AF3-$AG3-$AI3-$AK3-$AL3-$AM3-$AN3-$AO3)*15%/(40%+15%)))))</f>
        <v>5.9011363636363612</v>
      </c>
      <c r="AK3" s="265">
        <f t="shared" ref="AK3:AK34" si="11">IF($Z3="",0,$Z3*15%)</f>
        <v>6.0374999999999996</v>
      </c>
      <c r="AL3" s="192">
        <f t="shared" ref="AL3:AL34" si="12">IF($Z3="",0,IF($R3="",0,$R3))</f>
        <v>0</v>
      </c>
      <c r="AM3" s="192">
        <f t="shared" ref="AM3:AM34" si="13">IF(OR($Z3="",$S3=""),0,$Z3*5%)</f>
        <v>2.0125000000000002</v>
      </c>
      <c r="AN3" s="192">
        <f t="shared" ref="AN3:AN34" si="14">IF(OR($Z3="",$T3=""),0,$Z3*10%)</f>
        <v>4.0250000000000004</v>
      </c>
      <c r="AO3" s="192">
        <f t="shared" ref="AO3:AO34" si="15">IF($Z3="",0,IF($U3="",0,$U3))</f>
        <v>0</v>
      </c>
      <c r="AP3" s="53">
        <f t="shared" ref="AP3:AP34" si="16">SUM(AE3:AM3)</f>
        <v>36.225000000000001</v>
      </c>
    </row>
    <row r="4" spans="1:43" ht="15" customHeight="1">
      <c r="A4" s="1">
        <v>2</v>
      </c>
      <c r="B4" s="288"/>
      <c r="C4" s="289"/>
      <c r="D4" s="50" t="s">
        <v>67</v>
      </c>
      <c r="E4" s="50"/>
      <c r="F4" s="1" t="s">
        <v>68</v>
      </c>
      <c r="G4" s="1"/>
      <c r="H4" s="24">
        <v>1</v>
      </c>
      <c r="I4" s="24"/>
      <c r="J4" s="24"/>
      <c r="K4" s="24">
        <v>1</v>
      </c>
      <c r="L4" s="24" t="s">
        <v>69</v>
      </c>
      <c r="M4" s="24"/>
      <c r="N4" s="24"/>
      <c r="O4" s="24"/>
      <c r="P4" s="24"/>
      <c r="Q4" s="24"/>
      <c r="R4" s="24"/>
      <c r="S4" s="24"/>
      <c r="T4" s="24"/>
      <c r="U4" s="24"/>
      <c r="V4" s="44">
        <f t="shared" si="0"/>
        <v>0</v>
      </c>
      <c r="W4" s="165">
        <f t="shared" si="1"/>
        <v>0</v>
      </c>
      <c r="X4" s="165">
        <f t="shared" si="2"/>
        <v>0</v>
      </c>
      <c r="Y4" s="169">
        <f t="shared" si="3"/>
        <v>0</v>
      </c>
      <c r="Z4" s="193">
        <f t="shared" si="4"/>
        <v>0</v>
      </c>
      <c r="AA4" s="173"/>
      <c r="AB4" s="173"/>
      <c r="AC4" s="173"/>
      <c r="AD4" s="173"/>
      <c r="AE4" s="192">
        <f t="shared" si="5"/>
        <v>0</v>
      </c>
      <c r="AF4" s="192">
        <f t="shared" si="6"/>
        <v>0</v>
      </c>
      <c r="AG4" s="192">
        <f t="shared" si="7"/>
        <v>0</v>
      </c>
      <c r="AH4" s="192">
        <f t="shared" si="8"/>
        <v>0</v>
      </c>
      <c r="AI4" s="265">
        <f t="shared" si="9"/>
        <v>0</v>
      </c>
      <c r="AJ4" s="192">
        <f t="shared" si="10"/>
        <v>0</v>
      </c>
      <c r="AK4" s="265">
        <f t="shared" si="11"/>
        <v>0</v>
      </c>
      <c r="AL4" s="192">
        <f t="shared" si="12"/>
        <v>0</v>
      </c>
      <c r="AM4" s="192">
        <f t="shared" si="13"/>
        <v>0</v>
      </c>
      <c r="AN4" s="192">
        <f t="shared" si="14"/>
        <v>0</v>
      </c>
      <c r="AO4" s="192">
        <f t="shared" si="15"/>
        <v>0</v>
      </c>
      <c r="AP4" s="53">
        <f t="shared" si="16"/>
        <v>0</v>
      </c>
    </row>
    <row r="5" spans="1:43" ht="15" customHeight="1">
      <c r="A5" s="1">
        <v>3</v>
      </c>
      <c r="B5" s="288"/>
      <c r="C5" s="269" t="s">
        <v>70</v>
      </c>
      <c r="D5" s="59" t="s">
        <v>71</v>
      </c>
      <c r="E5" s="51"/>
      <c r="F5" s="270" t="s">
        <v>72</v>
      </c>
      <c r="G5" s="1"/>
      <c r="H5" s="24">
        <v>2</v>
      </c>
      <c r="I5" s="24"/>
      <c r="J5" s="24"/>
      <c r="K5" s="24">
        <v>2</v>
      </c>
      <c r="L5" s="24"/>
      <c r="M5" s="24"/>
      <c r="N5" s="24"/>
      <c r="O5" s="24"/>
      <c r="P5" s="24"/>
      <c r="Q5" s="24">
        <v>5</v>
      </c>
      <c r="R5" s="24"/>
      <c r="S5" s="24"/>
      <c r="T5" s="24"/>
      <c r="U5" s="24">
        <v>1</v>
      </c>
      <c r="V5" s="44">
        <f t="shared" si="0"/>
        <v>6</v>
      </c>
      <c r="W5" s="165">
        <f t="shared" si="1"/>
        <v>3</v>
      </c>
      <c r="X5" s="165">
        <f t="shared" si="2"/>
        <v>7.5</v>
      </c>
      <c r="Y5" s="169">
        <f t="shared" si="3"/>
        <v>5.75</v>
      </c>
      <c r="Z5" s="193">
        <f t="shared" si="4"/>
        <v>2.875</v>
      </c>
      <c r="AA5" s="173"/>
      <c r="AB5" s="173"/>
      <c r="AC5" s="173"/>
      <c r="AD5" s="173"/>
      <c r="AE5" s="192">
        <f t="shared" si="5"/>
        <v>0</v>
      </c>
      <c r="AF5" s="192">
        <f t="shared" si="6"/>
        <v>0</v>
      </c>
      <c r="AG5" s="192">
        <f t="shared" si="7"/>
        <v>0</v>
      </c>
      <c r="AH5" s="192">
        <f t="shared" si="8"/>
        <v>0</v>
      </c>
      <c r="AI5" s="265">
        <f t="shared" si="9"/>
        <v>0</v>
      </c>
      <c r="AJ5" s="192">
        <f t="shared" si="10"/>
        <v>1.4437500000000001</v>
      </c>
      <c r="AK5" s="265">
        <f t="shared" si="11"/>
        <v>0.43124999999999997</v>
      </c>
      <c r="AL5" s="192">
        <f t="shared" si="12"/>
        <v>0</v>
      </c>
      <c r="AM5" s="192">
        <f t="shared" si="13"/>
        <v>0</v>
      </c>
      <c r="AN5" s="192">
        <f t="shared" si="14"/>
        <v>0</v>
      </c>
      <c r="AO5" s="192">
        <f t="shared" si="15"/>
        <v>1</v>
      </c>
      <c r="AP5" s="53">
        <f t="shared" si="16"/>
        <v>1.875</v>
      </c>
    </row>
    <row r="6" spans="1:43" ht="15" customHeight="1">
      <c r="A6" s="1">
        <v>4</v>
      </c>
      <c r="B6" s="288"/>
      <c r="C6" s="58" t="s">
        <v>73</v>
      </c>
      <c r="D6" s="59" t="s">
        <v>74</v>
      </c>
      <c r="E6" s="59"/>
      <c r="F6" s="57" t="s">
        <v>65</v>
      </c>
      <c r="G6" s="57"/>
      <c r="H6" s="56">
        <v>2</v>
      </c>
      <c r="I6" s="56"/>
      <c r="J6" s="56"/>
      <c r="K6" s="56">
        <v>3</v>
      </c>
      <c r="L6" s="56" t="s">
        <v>69</v>
      </c>
      <c r="M6" s="56"/>
      <c r="N6" s="56"/>
      <c r="O6" s="56"/>
      <c r="P6" s="56"/>
      <c r="Q6" s="56"/>
      <c r="R6" s="56"/>
      <c r="S6" s="56"/>
      <c r="T6" s="56"/>
      <c r="U6" s="56"/>
      <c r="V6" s="44">
        <f t="shared" si="0"/>
        <v>0</v>
      </c>
      <c r="W6" s="165">
        <f t="shared" si="1"/>
        <v>0</v>
      </c>
      <c r="X6" s="165">
        <f t="shared" si="2"/>
        <v>0</v>
      </c>
      <c r="Y6" s="169">
        <f t="shared" si="3"/>
        <v>0</v>
      </c>
      <c r="Z6" s="193">
        <f t="shared" si="4"/>
        <v>0</v>
      </c>
      <c r="AA6" s="173"/>
      <c r="AB6" s="173"/>
      <c r="AC6" s="173"/>
      <c r="AD6" s="173"/>
      <c r="AE6" s="192">
        <f t="shared" si="5"/>
        <v>0</v>
      </c>
      <c r="AF6" s="192">
        <f t="shared" si="6"/>
        <v>0</v>
      </c>
      <c r="AG6" s="192">
        <f t="shared" si="7"/>
        <v>0</v>
      </c>
      <c r="AH6" s="192">
        <f t="shared" si="8"/>
        <v>0</v>
      </c>
      <c r="AI6" s="265">
        <f t="shared" si="9"/>
        <v>0</v>
      </c>
      <c r="AJ6" s="192">
        <f t="shared" si="10"/>
        <v>0</v>
      </c>
      <c r="AK6" s="265">
        <f t="shared" si="11"/>
        <v>0</v>
      </c>
      <c r="AL6" s="192">
        <f t="shared" si="12"/>
        <v>0</v>
      </c>
      <c r="AM6" s="192">
        <f t="shared" si="13"/>
        <v>0</v>
      </c>
      <c r="AN6" s="192">
        <f t="shared" si="14"/>
        <v>0</v>
      </c>
      <c r="AO6" s="192">
        <f t="shared" si="15"/>
        <v>0</v>
      </c>
      <c r="AP6" s="53">
        <f t="shared" si="16"/>
        <v>0</v>
      </c>
    </row>
    <row r="7" spans="1:43" ht="15" customHeight="1">
      <c r="A7" s="1">
        <v>5</v>
      </c>
      <c r="B7" s="288"/>
      <c r="C7" s="287" t="s">
        <v>75</v>
      </c>
      <c r="D7" s="50" t="s">
        <v>76</v>
      </c>
      <c r="E7" s="219" t="s">
        <v>77</v>
      </c>
      <c r="F7" s="1" t="s">
        <v>65</v>
      </c>
      <c r="G7" s="1"/>
      <c r="H7" s="24"/>
      <c r="I7" s="24"/>
      <c r="J7" s="24"/>
      <c r="K7" s="24">
        <v>2</v>
      </c>
      <c r="L7" s="24"/>
      <c r="M7" s="24"/>
      <c r="N7" s="24"/>
      <c r="O7" s="24"/>
      <c r="P7" s="56">
        <f>10+2</f>
        <v>12</v>
      </c>
      <c r="Q7" s="24">
        <v>2</v>
      </c>
      <c r="R7" s="24"/>
      <c r="S7" s="56">
        <v>2</v>
      </c>
      <c r="T7" s="24">
        <v>5</v>
      </c>
      <c r="U7" s="24">
        <f>(10+2)/3</f>
        <v>4</v>
      </c>
      <c r="V7" s="44">
        <f t="shared" si="0"/>
        <v>25</v>
      </c>
      <c r="W7" s="165">
        <f t="shared" si="1"/>
        <v>12.5</v>
      </c>
      <c r="X7" s="165">
        <f t="shared" si="2"/>
        <v>31.25</v>
      </c>
      <c r="Y7" s="169">
        <f t="shared" si="3"/>
        <v>23.958333333333332</v>
      </c>
      <c r="Z7" s="193">
        <f t="shared" si="4"/>
        <v>11.979166666666666</v>
      </c>
      <c r="AA7" s="173">
        <v>46150</v>
      </c>
      <c r="AB7" s="173">
        <v>46156</v>
      </c>
      <c r="AC7" s="173">
        <v>46157</v>
      </c>
      <c r="AD7" s="173">
        <v>46161</v>
      </c>
      <c r="AE7" s="192">
        <f t="shared" si="5"/>
        <v>0</v>
      </c>
      <c r="AF7" s="192">
        <f t="shared" si="6"/>
        <v>0</v>
      </c>
      <c r="AG7" s="192">
        <f t="shared" si="7"/>
        <v>0</v>
      </c>
      <c r="AH7" s="192">
        <f t="shared" si="8"/>
        <v>2.8257575757575748</v>
      </c>
      <c r="AI7" s="265">
        <f t="shared" si="9"/>
        <v>0.5</v>
      </c>
      <c r="AJ7" s="192">
        <f t="shared" si="10"/>
        <v>1.0596590909090904</v>
      </c>
      <c r="AK7" s="265">
        <f t="shared" si="11"/>
        <v>1.7968749999999998</v>
      </c>
      <c r="AL7" s="192">
        <f t="shared" si="12"/>
        <v>0</v>
      </c>
      <c r="AM7" s="192">
        <f t="shared" si="13"/>
        <v>0.59895833333333337</v>
      </c>
      <c r="AN7" s="192">
        <f t="shared" si="14"/>
        <v>1.1979166666666667</v>
      </c>
      <c r="AO7" s="192">
        <f t="shared" si="15"/>
        <v>4</v>
      </c>
      <c r="AP7" s="53">
        <f t="shared" si="16"/>
        <v>6.7812499999999982</v>
      </c>
      <c r="AQ7" t="s">
        <v>78</v>
      </c>
    </row>
    <row r="8" spans="1:43" ht="15" customHeight="1">
      <c r="A8" s="1">
        <v>6</v>
      </c>
      <c r="B8" s="288"/>
      <c r="C8" s="288"/>
      <c r="D8" s="50" t="s">
        <v>79</v>
      </c>
      <c r="E8" s="219" t="s">
        <v>80</v>
      </c>
      <c r="F8" s="1" t="s">
        <v>65</v>
      </c>
      <c r="G8" s="1"/>
      <c r="H8" s="24"/>
      <c r="I8" s="24"/>
      <c r="J8" s="24"/>
      <c r="K8" s="24">
        <v>2</v>
      </c>
      <c r="L8" s="24"/>
      <c r="M8" s="24"/>
      <c r="N8" s="24"/>
      <c r="O8" s="24"/>
      <c r="P8" s="56">
        <f>10+2</f>
        <v>12</v>
      </c>
      <c r="Q8" s="24">
        <v>2</v>
      </c>
      <c r="R8" s="24"/>
      <c r="S8" s="56">
        <v>2</v>
      </c>
      <c r="T8" s="24">
        <v>5</v>
      </c>
      <c r="U8" s="24">
        <f>(10+2)/3</f>
        <v>4</v>
      </c>
      <c r="V8" s="44">
        <f t="shared" si="0"/>
        <v>25</v>
      </c>
      <c r="W8" s="165">
        <f t="shared" si="1"/>
        <v>12.5</v>
      </c>
      <c r="X8" s="165">
        <f t="shared" si="2"/>
        <v>31.25</v>
      </c>
      <c r="Y8" s="169">
        <f t="shared" si="3"/>
        <v>23.958333333333332</v>
      </c>
      <c r="Z8" s="193">
        <f t="shared" si="4"/>
        <v>11.979166666666666</v>
      </c>
      <c r="AA8" s="173">
        <v>46164</v>
      </c>
      <c r="AB8" s="173">
        <v>46170</v>
      </c>
      <c r="AC8" s="173">
        <v>46171</v>
      </c>
      <c r="AD8" s="173">
        <v>46175</v>
      </c>
      <c r="AE8" s="192">
        <f t="shared" si="5"/>
        <v>0</v>
      </c>
      <c r="AF8" s="192">
        <f t="shared" si="6"/>
        <v>0</v>
      </c>
      <c r="AG8" s="192">
        <f t="shared" si="7"/>
        <v>0</v>
      </c>
      <c r="AH8" s="192">
        <f t="shared" si="8"/>
        <v>2.8257575757575748</v>
      </c>
      <c r="AI8" s="265">
        <f t="shared" si="9"/>
        <v>0.5</v>
      </c>
      <c r="AJ8" s="192">
        <f t="shared" si="10"/>
        <v>1.0596590909090904</v>
      </c>
      <c r="AK8" s="265">
        <f t="shared" si="11"/>
        <v>1.7968749999999998</v>
      </c>
      <c r="AL8" s="192">
        <f t="shared" si="12"/>
        <v>0</v>
      </c>
      <c r="AM8" s="192">
        <f t="shared" si="13"/>
        <v>0.59895833333333337</v>
      </c>
      <c r="AN8" s="192">
        <f t="shared" si="14"/>
        <v>1.1979166666666667</v>
      </c>
      <c r="AO8" s="192">
        <f t="shared" si="15"/>
        <v>4</v>
      </c>
      <c r="AP8" s="53">
        <f t="shared" si="16"/>
        <v>6.7812499999999982</v>
      </c>
      <c r="AQ8" t="s">
        <v>78</v>
      </c>
    </row>
    <row r="9" spans="1:43" ht="15" customHeight="1">
      <c r="A9" s="1">
        <v>7</v>
      </c>
      <c r="B9" s="289"/>
      <c r="C9" s="289"/>
      <c r="D9" s="50" t="s">
        <v>81</v>
      </c>
      <c r="E9" s="219" t="s">
        <v>82</v>
      </c>
      <c r="F9" s="1" t="s">
        <v>65</v>
      </c>
      <c r="G9" s="1"/>
      <c r="H9" s="24"/>
      <c r="I9" s="24"/>
      <c r="J9" s="24"/>
      <c r="K9" s="24">
        <v>2</v>
      </c>
      <c r="L9" s="24"/>
      <c r="M9" s="24">
        <v>0</v>
      </c>
      <c r="N9" s="24"/>
      <c r="O9" s="24"/>
      <c r="P9" s="56">
        <f>10+2</f>
        <v>12</v>
      </c>
      <c r="Q9" s="24">
        <v>2</v>
      </c>
      <c r="R9" s="24">
        <v>0</v>
      </c>
      <c r="S9" s="56">
        <v>2</v>
      </c>
      <c r="T9" s="24">
        <v>5</v>
      </c>
      <c r="U9" s="24">
        <f>(10+2)/3</f>
        <v>4</v>
      </c>
      <c r="V9" s="44">
        <f t="shared" si="0"/>
        <v>25</v>
      </c>
      <c r="W9" s="165">
        <f t="shared" si="1"/>
        <v>12.5</v>
      </c>
      <c r="X9" s="165">
        <f t="shared" si="2"/>
        <v>31.25</v>
      </c>
      <c r="Y9" s="169">
        <f t="shared" si="3"/>
        <v>23.958333333333332</v>
      </c>
      <c r="Z9" s="193">
        <f t="shared" si="4"/>
        <v>11.979166666666666</v>
      </c>
      <c r="AA9" s="173">
        <v>46176</v>
      </c>
      <c r="AB9" s="173">
        <v>46182</v>
      </c>
      <c r="AC9" s="173">
        <v>46183</v>
      </c>
      <c r="AD9" s="173">
        <v>46185</v>
      </c>
      <c r="AE9" s="192">
        <f t="shared" si="5"/>
        <v>0</v>
      </c>
      <c r="AF9" s="192">
        <f t="shared" si="6"/>
        <v>0</v>
      </c>
      <c r="AG9" s="192">
        <f t="shared" si="7"/>
        <v>0</v>
      </c>
      <c r="AH9" s="192">
        <f t="shared" si="8"/>
        <v>2.8257575757575748</v>
      </c>
      <c r="AI9" s="265">
        <f t="shared" si="9"/>
        <v>0.5</v>
      </c>
      <c r="AJ9" s="192">
        <f t="shared" si="10"/>
        <v>1.0596590909090904</v>
      </c>
      <c r="AK9" s="265">
        <f t="shared" si="11"/>
        <v>1.7968749999999998</v>
      </c>
      <c r="AL9" s="192">
        <f t="shared" si="12"/>
        <v>0</v>
      </c>
      <c r="AM9" s="192">
        <f t="shared" si="13"/>
        <v>0.59895833333333337</v>
      </c>
      <c r="AN9" s="192">
        <f t="shared" si="14"/>
        <v>1.1979166666666667</v>
      </c>
      <c r="AO9" s="192">
        <f t="shared" si="15"/>
        <v>4</v>
      </c>
      <c r="AP9" s="53">
        <f t="shared" si="16"/>
        <v>6.7812499999999982</v>
      </c>
      <c r="AQ9" t="s">
        <v>78</v>
      </c>
    </row>
    <row r="10" spans="1:43" ht="15" customHeight="1">
      <c r="A10" s="1"/>
      <c r="B10" s="270"/>
      <c r="C10" s="269"/>
      <c r="D10" s="50" t="s">
        <v>83</v>
      </c>
      <c r="E10" s="247" t="s">
        <v>84</v>
      </c>
      <c r="F10" s="1" t="s">
        <v>65</v>
      </c>
      <c r="G10" s="1"/>
      <c r="H10" s="24"/>
      <c r="I10" s="24"/>
      <c r="J10" s="24"/>
      <c r="K10" s="24"/>
      <c r="L10" s="24"/>
      <c r="M10" s="24">
        <v>2</v>
      </c>
      <c r="N10" s="24">
        <v>2</v>
      </c>
      <c r="O10" s="24">
        <v>3</v>
      </c>
      <c r="P10" s="56">
        <v>2</v>
      </c>
      <c r="Q10" s="24">
        <v>1</v>
      </c>
      <c r="R10" s="24">
        <v>0</v>
      </c>
      <c r="S10" s="56">
        <v>0</v>
      </c>
      <c r="T10" s="24">
        <v>0</v>
      </c>
      <c r="U10" s="24">
        <v>3</v>
      </c>
      <c r="V10" s="44">
        <v>17</v>
      </c>
      <c r="W10" s="165">
        <f t="shared" si="1"/>
        <v>8.5</v>
      </c>
      <c r="X10" s="165">
        <f t="shared" si="2"/>
        <v>21.25</v>
      </c>
      <c r="Y10" s="169">
        <f t="shared" si="3"/>
        <v>16.291666666666668</v>
      </c>
      <c r="Z10" s="193">
        <f t="shared" si="4"/>
        <v>8.1458333333333339</v>
      </c>
      <c r="AA10" s="173">
        <f>DATEVALUE("04/08/2026")</f>
        <v>46120</v>
      </c>
      <c r="AB10" s="173">
        <f>DATEVALUE("04/17/2026")</f>
        <v>46129</v>
      </c>
      <c r="AC10" s="173">
        <v>46136</v>
      </c>
      <c r="AD10" s="213">
        <v>46142</v>
      </c>
      <c r="AE10" s="192">
        <f t="shared" si="5"/>
        <v>2</v>
      </c>
      <c r="AF10" s="192">
        <f t="shared" si="6"/>
        <v>0.40729166666666672</v>
      </c>
      <c r="AG10" s="192">
        <f t="shared" si="7"/>
        <v>0.81458333333333344</v>
      </c>
      <c r="AH10" s="192">
        <f t="shared" si="8"/>
        <v>-0.74166666666666592</v>
      </c>
      <c r="AI10" s="265">
        <f t="shared" si="9"/>
        <v>0.5</v>
      </c>
      <c r="AJ10" s="192">
        <f t="shared" si="10"/>
        <v>-0.27812499999999968</v>
      </c>
      <c r="AK10" s="265">
        <f t="shared" si="11"/>
        <v>1.221875</v>
      </c>
      <c r="AL10" s="192">
        <f t="shared" si="12"/>
        <v>0</v>
      </c>
      <c r="AM10" s="192">
        <f t="shared" si="13"/>
        <v>0.40729166666666672</v>
      </c>
      <c r="AN10" s="192">
        <f t="shared" si="14"/>
        <v>0.81458333333333344</v>
      </c>
      <c r="AO10" s="192">
        <f t="shared" si="15"/>
        <v>3</v>
      </c>
      <c r="AP10" s="53">
        <f t="shared" si="16"/>
        <v>4.3312500000000007</v>
      </c>
    </row>
    <row r="11" spans="1:43" ht="15" customHeight="1">
      <c r="A11" s="1">
        <v>8</v>
      </c>
      <c r="B11" s="290" t="s">
        <v>85</v>
      </c>
      <c r="C11" s="287" t="s">
        <v>86</v>
      </c>
      <c r="D11" s="50" t="s">
        <v>87</v>
      </c>
      <c r="E11" s="50"/>
      <c r="F11" s="1" t="s">
        <v>88</v>
      </c>
      <c r="G11" s="1"/>
      <c r="H11" s="24">
        <v>1</v>
      </c>
      <c r="I11" s="24"/>
      <c r="J11" s="24"/>
      <c r="K11" s="24">
        <v>1</v>
      </c>
      <c r="L11" s="24" t="s">
        <v>66</v>
      </c>
      <c r="M11" s="24">
        <v>0</v>
      </c>
      <c r="N11" s="24"/>
      <c r="O11" s="24"/>
      <c r="P11" s="24"/>
      <c r="Q11" s="24">
        <v>1</v>
      </c>
      <c r="R11" s="24">
        <f>4+4</f>
        <v>8</v>
      </c>
      <c r="S11" s="24"/>
      <c r="T11" s="24">
        <v>1</v>
      </c>
      <c r="U11" s="24">
        <v>1</v>
      </c>
      <c r="V11" s="44">
        <f t="shared" ref="V11:V28" si="17">SUM(M11:U11)</f>
        <v>11</v>
      </c>
      <c r="W11" s="165">
        <f t="shared" si="1"/>
        <v>5.5</v>
      </c>
      <c r="X11" s="165">
        <f t="shared" si="2"/>
        <v>13.75</v>
      </c>
      <c r="Y11" s="169">
        <f t="shared" si="3"/>
        <v>10.541666666666666</v>
      </c>
      <c r="Z11" s="193">
        <f t="shared" si="4"/>
        <v>5.270833333333333</v>
      </c>
      <c r="AA11" s="173"/>
      <c r="AB11" s="173"/>
      <c r="AC11" s="173"/>
      <c r="AD11" s="173"/>
      <c r="AE11" s="192">
        <f t="shared" si="5"/>
        <v>0</v>
      </c>
      <c r="AF11" s="192">
        <f t="shared" si="6"/>
        <v>0</v>
      </c>
      <c r="AG11" s="192">
        <f t="shared" si="7"/>
        <v>0</v>
      </c>
      <c r="AH11" s="192">
        <f t="shared" si="8"/>
        <v>0</v>
      </c>
      <c r="AI11" s="265">
        <f t="shared" si="9"/>
        <v>0</v>
      </c>
      <c r="AJ11" s="192">
        <f t="shared" si="10"/>
        <v>-5.046875</v>
      </c>
      <c r="AK11" s="265">
        <f t="shared" si="11"/>
        <v>0.79062499999999991</v>
      </c>
      <c r="AL11" s="192">
        <f t="shared" si="12"/>
        <v>8</v>
      </c>
      <c r="AM11" s="192">
        <f t="shared" si="13"/>
        <v>0</v>
      </c>
      <c r="AN11" s="192">
        <f t="shared" si="14"/>
        <v>0.52708333333333335</v>
      </c>
      <c r="AO11" s="192">
        <f t="shared" si="15"/>
        <v>1</v>
      </c>
      <c r="AP11" s="53">
        <f t="shared" si="16"/>
        <v>3.7437500000000004</v>
      </c>
    </row>
    <row r="12" spans="1:43" ht="15" customHeight="1">
      <c r="A12" s="1">
        <v>9</v>
      </c>
      <c r="B12" s="288"/>
      <c r="C12" s="288"/>
      <c r="D12" s="50" t="s">
        <v>89</v>
      </c>
      <c r="E12" s="50"/>
      <c r="F12" s="1" t="s">
        <v>88</v>
      </c>
      <c r="G12" s="1"/>
      <c r="H12" s="24">
        <v>1</v>
      </c>
      <c r="I12" s="24"/>
      <c r="J12" s="24"/>
      <c r="K12" s="24">
        <v>1</v>
      </c>
      <c r="L12" s="24" t="s">
        <v>66</v>
      </c>
      <c r="M12" s="24">
        <v>0</v>
      </c>
      <c r="N12" s="24"/>
      <c r="O12" s="24"/>
      <c r="P12" s="24"/>
      <c r="Q12" s="24">
        <v>1</v>
      </c>
      <c r="R12" s="24">
        <v>3</v>
      </c>
      <c r="S12" s="24"/>
      <c r="T12" s="24">
        <v>1</v>
      </c>
      <c r="U12" s="24">
        <v>1</v>
      </c>
      <c r="V12" s="44">
        <f t="shared" si="17"/>
        <v>6</v>
      </c>
      <c r="W12" s="165">
        <f t="shared" si="1"/>
        <v>3</v>
      </c>
      <c r="X12" s="165">
        <f t="shared" si="2"/>
        <v>7.5</v>
      </c>
      <c r="Y12" s="169">
        <f t="shared" si="3"/>
        <v>5.75</v>
      </c>
      <c r="Z12" s="193">
        <f t="shared" si="4"/>
        <v>2.875</v>
      </c>
      <c r="AA12" s="173"/>
      <c r="AB12" s="173"/>
      <c r="AC12" s="173"/>
      <c r="AD12" s="173"/>
      <c r="AE12" s="192">
        <f t="shared" si="5"/>
        <v>0</v>
      </c>
      <c r="AF12" s="192">
        <f t="shared" si="6"/>
        <v>0</v>
      </c>
      <c r="AG12" s="192">
        <f t="shared" si="7"/>
        <v>0</v>
      </c>
      <c r="AH12" s="192">
        <f t="shared" si="8"/>
        <v>0</v>
      </c>
      <c r="AI12" s="265">
        <f t="shared" si="9"/>
        <v>0</v>
      </c>
      <c r="AJ12" s="192">
        <f t="shared" si="10"/>
        <v>-1.84375</v>
      </c>
      <c r="AK12" s="265">
        <f t="shared" si="11"/>
        <v>0.43124999999999997</v>
      </c>
      <c r="AL12" s="192">
        <f t="shared" si="12"/>
        <v>3</v>
      </c>
      <c r="AM12" s="192">
        <f t="shared" si="13"/>
        <v>0</v>
      </c>
      <c r="AN12" s="192">
        <f t="shared" si="14"/>
        <v>0.28750000000000003</v>
      </c>
      <c r="AO12" s="192">
        <f t="shared" si="15"/>
        <v>1</v>
      </c>
      <c r="AP12" s="53">
        <f t="shared" si="16"/>
        <v>1.5874999999999999</v>
      </c>
    </row>
    <row r="13" spans="1:43" ht="15" customHeight="1">
      <c r="A13" s="1">
        <v>10</v>
      </c>
      <c r="B13" s="288"/>
      <c r="C13" s="288"/>
      <c r="D13" s="50" t="s">
        <v>90</v>
      </c>
      <c r="E13" s="50"/>
      <c r="F13" s="1" t="s">
        <v>88</v>
      </c>
      <c r="G13" s="1"/>
      <c r="H13" s="24">
        <v>1</v>
      </c>
      <c r="I13" s="24"/>
      <c r="J13" s="24"/>
      <c r="K13" s="24">
        <v>1</v>
      </c>
      <c r="L13" s="24" t="s">
        <v>66</v>
      </c>
      <c r="M13" s="24">
        <v>0</v>
      </c>
      <c r="N13" s="24"/>
      <c r="O13" s="24"/>
      <c r="P13" s="24"/>
      <c r="Q13" s="24">
        <v>1</v>
      </c>
      <c r="R13" s="24">
        <v>5</v>
      </c>
      <c r="S13" s="24"/>
      <c r="T13" s="24">
        <v>1</v>
      </c>
      <c r="U13" s="24">
        <v>1</v>
      </c>
      <c r="V13" s="44">
        <f t="shared" si="17"/>
        <v>8</v>
      </c>
      <c r="W13" s="165">
        <f t="shared" si="1"/>
        <v>4</v>
      </c>
      <c r="X13" s="165">
        <f t="shared" si="2"/>
        <v>10</v>
      </c>
      <c r="Y13" s="169">
        <f t="shared" si="3"/>
        <v>7.666666666666667</v>
      </c>
      <c r="Z13" s="193">
        <f t="shared" si="4"/>
        <v>3.8333333333333335</v>
      </c>
      <c r="AA13" s="173"/>
      <c r="AB13" s="173"/>
      <c r="AC13" s="173"/>
      <c r="AD13" s="173"/>
      <c r="AE13" s="192">
        <f t="shared" si="5"/>
        <v>0</v>
      </c>
      <c r="AF13" s="192">
        <f t="shared" si="6"/>
        <v>0</v>
      </c>
      <c r="AG13" s="192">
        <f t="shared" si="7"/>
        <v>0</v>
      </c>
      <c r="AH13" s="192">
        <f t="shared" si="8"/>
        <v>0</v>
      </c>
      <c r="AI13" s="265">
        <f t="shared" si="9"/>
        <v>0</v>
      </c>
      <c r="AJ13" s="192">
        <f t="shared" si="10"/>
        <v>-3.1249999999999996</v>
      </c>
      <c r="AK13" s="265">
        <f t="shared" si="11"/>
        <v>0.57499999999999996</v>
      </c>
      <c r="AL13" s="192">
        <f t="shared" si="12"/>
        <v>5</v>
      </c>
      <c r="AM13" s="192">
        <f t="shared" si="13"/>
        <v>0</v>
      </c>
      <c r="AN13" s="192">
        <f t="shared" si="14"/>
        <v>0.38333333333333336</v>
      </c>
      <c r="AO13" s="192">
        <f t="shared" si="15"/>
        <v>1</v>
      </c>
      <c r="AP13" s="53">
        <f t="shared" si="16"/>
        <v>2.4500000000000002</v>
      </c>
    </row>
    <row r="14" spans="1:43" ht="15" customHeight="1">
      <c r="A14" s="1">
        <v>11</v>
      </c>
      <c r="B14" s="288"/>
      <c r="C14" s="288"/>
      <c r="D14" s="50" t="s">
        <v>91</v>
      </c>
      <c r="E14" s="50"/>
      <c r="F14" s="1" t="s">
        <v>88</v>
      </c>
      <c r="G14" s="1"/>
      <c r="H14" s="24">
        <v>1</v>
      </c>
      <c r="I14" s="24"/>
      <c r="J14" s="24"/>
      <c r="K14" s="24">
        <v>1</v>
      </c>
      <c r="L14" s="24" t="s">
        <v>66</v>
      </c>
      <c r="M14" s="24">
        <v>0</v>
      </c>
      <c r="N14" s="24"/>
      <c r="O14" s="24"/>
      <c r="P14" s="24"/>
      <c r="Q14" s="24">
        <v>1</v>
      </c>
      <c r="R14" s="24">
        <v>3</v>
      </c>
      <c r="S14" s="24"/>
      <c r="T14" s="24">
        <v>1</v>
      </c>
      <c r="U14" s="24">
        <v>1</v>
      </c>
      <c r="V14" s="44">
        <f t="shared" si="17"/>
        <v>6</v>
      </c>
      <c r="W14" s="165">
        <f t="shared" si="1"/>
        <v>3</v>
      </c>
      <c r="X14" s="165">
        <f t="shared" si="2"/>
        <v>7.5</v>
      </c>
      <c r="Y14" s="169">
        <f t="shared" si="3"/>
        <v>5.75</v>
      </c>
      <c r="Z14" s="193">
        <f t="shared" si="4"/>
        <v>2.875</v>
      </c>
      <c r="AA14" s="173"/>
      <c r="AB14" s="173"/>
      <c r="AC14" s="173"/>
      <c r="AD14" s="173"/>
      <c r="AE14" s="192">
        <f t="shared" si="5"/>
        <v>0</v>
      </c>
      <c r="AF14" s="192">
        <f t="shared" si="6"/>
        <v>0</v>
      </c>
      <c r="AG14" s="192">
        <f t="shared" si="7"/>
        <v>0</v>
      </c>
      <c r="AH14" s="192">
        <f t="shared" si="8"/>
        <v>0</v>
      </c>
      <c r="AI14" s="265">
        <f t="shared" si="9"/>
        <v>0</v>
      </c>
      <c r="AJ14" s="192">
        <f t="shared" si="10"/>
        <v>-1.84375</v>
      </c>
      <c r="AK14" s="265">
        <f t="shared" si="11"/>
        <v>0.43124999999999997</v>
      </c>
      <c r="AL14" s="192">
        <f t="shared" si="12"/>
        <v>3</v>
      </c>
      <c r="AM14" s="192">
        <f t="shared" si="13"/>
        <v>0</v>
      </c>
      <c r="AN14" s="192">
        <f t="shared" si="14"/>
        <v>0.28750000000000003</v>
      </c>
      <c r="AO14" s="192">
        <f t="shared" si="15"/>
        <v>1</v>
      </c>
      <c r="AP14" s="53">
        <f t="shared" si="16"/>
        <v>1.5874999999999999</v>
      </c>
    </row>
    <row r="15" spans="1:43" ht="15" customHeight="1">
      <c r="A15" s="1">
        <v>12</v>
      </c>
      <c r="B15" s="288"/>
      <c r="C15" s="288"/>
      <c r="D15" s="50" t="s">
        <v>92</v>
      </c>
      <c r="E15" s="50"/>
      <c r="F15" s="1" t="s">
        <v>88</v>
      </c>
      <c r="G15" s="1"/>
      <c r="H15" s="24">
        <v>1</v>
      </c>
      <c r="I15" s="24"/>
      <c r="J15" s="24"/>
      <c r="K15" s="24">
        <v>1</v>
      </c>
      <c r="L15" s="24" t="s">
        <v>66</v>
      </c>
      <c r="M15" s="24">
        <v>0</v>
      </c>
      <c r="N15" s="24"/>
      <c r="O15" s="24"/>
      <c r="P15" s="24"/>
      <c r="Q15" s="24">
        <v>1</v>
      </c>
      <c r="R15" s="24">
        <v>0</v>
      </c>
      <c r="S15" s="24"/>
      <c r="T15" s="24">
        <v>1</v>
      </c>
      <c r="U15" s="24">
        <v>1</v>
      </c>
      <c r="V15" s="44">
        <f t="shared" si="17"/>
        <v>3</v>
      </c>
      <c r="W15" s="165">
        <f t="shared" si="1"/>
        <v>1.5</v>
      </c>
      <c r="X15" s="165">
        <f t="shared" si="2"/>
        <v>3.75</v>
      </c>
      <c r="Y15" s="169">
        <f t="shared" si="3"/>
        <v>2.875</v>
      </c>
      <c r="Z15" s="193">
        <f t="shared" si="4"/>
        <v>1.4375</v>
      </c>
      <c r="AA15" s="173"/>
      <c r="AB15" s="173"/>
      <c r="AC15" s="173"/>
      <c r="AD15" s="173"/>
      <c r="AE15" s="192">
        <f t="shared" si="5"/>
        <v>0</v>
      </c>
      <c r="AF15" s="192">
        <f t="shared" si="6"/>
        <v>0</v>
      </c>
      <c r="AG15" s="192">
        <f t="shared" si="7"/>
        <v>0</v>
      </c>
      <c r="AH15" s="192">
        <f t="shared" si="8"/>
        <v>0</v>
      </c>
      <c r="AI15" s="265">
        <f t="shared" si="9"/>
        <v>0</v>
      </c>
      <c r="AJ15" s="192">
        <f t="shared" si="10"/>
        <v>7.8125E-2</v>
      </c>
      <c r="AK15" s="265">
        <f t="shared" si="11"/>
        <v>0.21562499999999998</v>
      </c>
      <c r="AL15" s="192">
        <f t="shared" si="12"/>
        <v>0</v>
      </c>
      <c r="AM15" s="192">
        <f t="shared" si="13"/>
        <v>0</v>
      </c>
      <c r="AN15" s="192">
        <f t="shared" si="14"/>
        <v>0.14375000000000002</v>
      </c>
      <c r="AO15" s="192">
        <f t="shared" si="15"/>
        <v>1</v>
      </c>
      <c r="AP15" s="53">
        <f t="shared" si="16"/>
        <v>0.29374999999999996</v>
      </c>
    </row>
    <row r="16" spans="1:43" ht="15" customHeight="1">
      <c r="A16" s="1">
        <v>13</v>
      </c>
      <c r="B16" s="288"/>
      <c r="C16" s="288"/>
      <c r="D16" s="50" t="s">
        <v>93</v>
      </c>
      <c r="E16" s="50"/>
      <c r="F16" s="1" t="s">
        <v>88</v>
      </c>
      <c r="G16" s="1"/>
      <c r="H16" s="24">
        <v>1</v>
      </c>
      <c r="I16" s="24"/>
      <c r="J16" s="24"/>
      <c r="K16" s="24">
        <v>1</v>
      </c>
      <c r="L16" s="24" t="s">
        <v>66</v>
      </c>
      <c r="M16" s="24">
        <v>0</v>
      </c>
      <c r="N16" s="24"/>
      <c r="O16" s="24"/>
      <c r="P16" s="24"/>
      <c r="Q16" s="24">
        <v>1</v>
      </c>
      <c r="R16" s="24">
        <v>4</v>
      </c>
      <c r="S16" s="24"/>
      <c r="T16" s="24">
        <v>1</v>
      </c>
      <c r="U16" s="24">
        <v>1</v>
      </c>
      <c r="V16" s="44">
        <f t="shared" si="17"/>
        <v>7</v>
      </c>
      <c r="W16" s="165">
        <f t="shared" si="1"/>
        <v>3.5</v>
      </c>
      <c r="X16" s="165">
        <f t="shared" si="2"/>
        <v>8.75</v>
      </c>
      <c r="Y16" s="169">
        <f t="shared" si="3"/>
        <v>6.708333333333333</v>
      </c>
      <c r="Z16" s="193">
        <f t="shared" si="4"/>
        <v>3.3541666666666665</v>
      </c>
      <c r="AA16" s="173"/>
      <c r="AB16" s="173"/>
      <c r="AC16" s="173"/>
      <c r="AD16" s="173"/>
      <c r="AE16" s="192">
        <f t="shared" si="5"/>
        <v>0</v>
      </c>
      <c r="AF16" s="192">
        <f t="shared" si="6"/>
        <v>0</v>
      </c>
      <c r="AG16" s="192">
        <f t="shared" si="7"/>
        <v>0</v>
      </c>
      <c r="AH16" s="192">
        <f t="shared" si="8"/>
        <v>0</v>
      </c>
      <c r="AI16" s="265">
        <f t="shared" si="9"/>
        <v>0</v>
      </c>
      <c r="AJ16" s="192">
        <f t="shared" si="10"/>
        <v>-2.484375</v>
      </c>
      <c r="AK16" s="265">
        <f t="shared" si="11"/>
        <v>0.50312499999999993</v>
      </c>
      <c r="AL16" s="192">
        <f t="shared" si="12"/>
        <v>4</v>
      </c>
      <c r="AM16" s="192">
        <f t="shared" si="13"/>
        <v>0</v>
      </c>
      <c r="AN16" s="192">
        <f t="shared" si="14"/>
        <v>0.3354166666666667</v>
      </c>
      <c r="AO16" s="192">
        <f t="shared" si="15"/>
        <v>1</v>
      </c>
      <c r="AP16" s="53">
        <f t="shared" si="16"/>
        <v>2.0187499999999998</v>
      </c>
    </row>
    <row r="17" spans="1:43" ht="15" customHeight="1">
      <c r="A17" s="1">
        <v>14</v>
      </c>
      <c r="B17" s="288"/>
      <c r="C17" s="288"/>
      <c r="D17" s="50" t="s">
        <v>94</v>
      </c>
      <c r="E17" s="50"/>
      <c r="F17" s="1" t="s">
        <v>88</v>
      </c>
      <c r="G17" s="1"/>
      <c r="H17" s="24">
        <v>1</v>
      </c>
      <c r="I17" s="24"/>
      <c r="J17" s="24"/>
      <c r="K17" s="24">
        <v>1</v>
      </c>
      <c r="L17" s="24" t="s">
        <v>66</v>
      </c>
      <c r="M17" s="24">
        <v>0</v>
      </c>
      <c r="N17" s="24"/>
      <c r="O17" s="24"/>
      <c r="P17" s="24"/>
      <c r="Q17" s="24">
        <v>1</v>
      </c>
      <c r="R17" s="24">
        <v>3</v>
      </c>
      <c r="S17" s="24"/>
      <c r="T17" s="24">
        <v>1</v>
      </c>
      <c r="U17" s="24">
        <v>1</v>
      </c>
      <c r="V17" s="44">
        <f t="shared" si="17"/>
        <v>6</v>
      </c>
      <c r="W17" s="165">
        <f t="shared" si="1"/>
        <v>3</v>
      </c>
      <c r="X17" s="165">
        <f t="shared" si="2"/>
        <v>7.5</v>
      </c>
      <c r="Y17" s="169">
        <f t="shared" si="3"/>
        <v>5.75</v>
      </c>
      <c r="Z17" s="193">
        <f t="shared" si="4"/>
        <v>2.875</v>
      </c>
      <c r="AA17" s="173"/>
      <c r="AB17" s="173"/>
      <c r="AC17" s="173"/>
      <c r="AD17" s="173"/>
      <c r="AE17" s="192">
        <f t="shared" si="5"/>
        <v>0</v>
      </c>
      <c r="AF17" s="192">
        <f t="shared" si="6"/>
        <v>0</v>
      </c>
      <c r="AG17" s="192">
        <f t="shared" si="7"/>
        <v>0</v>
      </c>
      <c r="AH17" s="192">
        <f t="shared" si="8"/>
        <v>0</v>
      </c>
      <c r="AI17" s="265">
        <f t="shared" si="9"/>
        <v>0</v>
      </c>
      <c r="AJ17" s="192">
        <f t="shared" si="10"/>
        <v>-1.84375</v>
      </c>
      <c r="AK17" s="265">
        <f t="shared" si="11"/>
        <v>0.43124999999999997</v>
      </c>
      <c r="AL17" s="192">
        <f t="shared" si="12"/>
        <v>3</v>
      </c>
      <c r="AM17" s="192">
        <f t="shared" si="13"/>
        <v>0</v>
      </c>
      <c r="AN17" s="192">
        <f t="shared" si="14"/>
        <v>0.28750000000000003</v>
      </c>
      <c r="AO17" s="192">
        <f t="shared" si="15"/>
        <v>1</v>
      </c>
      <c r="AP17" s="53">
        <f t="shared" si="16"/>
        <v>1.5874999999999999</v>
      </c>
    </row>
    <row r="18" spans="1:43" ht="15" customHeight="1">
      <c r="A18" s="1">
        <v>15</v>
      </c>
      <c r="B18" s="288"/>
      <c r="C18" s="288"/>
      <c r="D18" s="50" t="s">
        <v>95</v>
      </c>
      <c r="E18" s="50"/>
      <c r="F18" s="1" t="s">
        <v>88</v>
      </c>
      <c r="G18" s="1"/>
      <c r="H18" s="24">
        <v>1</v>
      </c>
      <c r="I18" s="24"/>
      <c r="J18" s="24"/>
      <c r="K18" s="24">
        <v>1</v>
      </c>
      <c r="L18" s="24" t="s">
        <v>66</v>
      </c>
      <c r="M18" s="24">
        <v>0</v>
      </c>
      <c r="N18" s="24"/>
      <c r="O18" s="24"/>
      <c r="P18" s="24"/>
      <c r="Q18" s="24">
        <v>1</v>
      </c>
      <c r="R18" s="24">
        <v>4</v>
      </c>
      <c r="S18" s="24"/>
      <c r="T18" s="24">
        <v>1</v>
      </c>
      <c r="U18" s="24">
        <v>1</v>
      </c>
      <c r="V18" s="44">
        <f t="shared" si="17"/>
        <v>7</v>
      </c>
      <c r="W18" s="165">
        <f t="shared" si="1"/>
        <v>3.5</v>
      </c>
      <c r="X18" s="165">
        <f t="shared" si="2"/>
        <v>8.75</v>
      </c>
      <c r="Y18" s="169">
        <f t="shared" si="3"/>
        <v>6.708333333333333</v>
      </c>
      <c r="Z18" s="193">
        <f t="shared" si="4"/>
        <v>3.3541666666666665</v>
      </c>
      <c r="AA18" s="173"/>
      <c r="AB18" s="173"/>
      <c r="AC18" s="173"/>
      <c r="AD18" s="173"/>
      <c r="AE18" s="192">
        <f t="shared" si="5"/>
        <v>0</v>
      </c>
      <c r="AF18" s="192">
        <f t="shared" si="6"/>
        <v>0</v>
      </c>
      <c r="AG18" s="192">
        <f t="shared" si="7"/>
        <v>0</v>
      </c>
      <c r="AH18" s="192">
        <f t="shared" si="8"/>
        <v>0</v>
      </c>
      <c r="AI18" s="265">
        <f t="shared" si="9"/>
        <v>0</v>
      </c>
      <c r="AJ18" s="192">
        <f t="shared" si="10"/>
        <v>-2.484375</v>
      </c>
      <c r="AK18" s="265">
        <f t="shared" si="11"/>
        <v>0.50312499999999993</v>
      </c>
      <c r="AL18" s="192">
        <f t="shared" si="12"/>
        <v>4</v>
      </c>
      <c r="AM18" s="192">
        <f t="shared" si="13"/>
        <v>0</v>
      </c>
      <c r="AN18" s="192">
        <f t="shared" si="14"/>
        <v>0.3354166666666667</v>
      </c>
      <c r="AO18" s="192">
        <f t="shared" si="15"/>
        <v>1</v>
      </c>
      <c r="AP18" s="53">
        <f t="shared" si="16"/>
        <v>2.0187499999999998</v>
      </c>
    </row>
    <row r="19" spans="1:43" ht="60.75" customHeight="1">
      <c r="A19" s="1">
        <v>16</v>
      </c>
      <c r="B19" s="288"/>
      <c r="C19" s="288"/>
      <c r="D19" s="51" t="s">
        <v>96</v>
      </c>
      <c r="E19" s="220" t="s">
        <v>97</v>
      </c>
      <c r="F19" s="1" t="s">
        <v>88</v>
      </c>
      <c r="G19" s="1"/>
      <c r="H19" s="24">
        <v>1</v>
      </c>
      <c r="I19" s="24"/>
      <c r="J19" s="24"/>
      <c r="K19" s="24">
        <v>1</v>
      </c>
      <c r="L19" s="24" t="s">
        <v>69</v>
      </c>
      <c r="M19" s="24">
        <v>1</v>
      </c>
      <c r="N19" s="24"/>
      <c r="O19" s="24">
        <v>5</v>
      </c>
      <c r="P19" s="24">
        <v>30</v>
      </c>
      <c r="Q19" s="24">
        <v>5</v>
      </c>
      <c r="R19" s="24">
        <v>3</v>
      </c>
      <c r="S19" s="24"/>
      <c r="T19" s="24"/>
      <c r="U19" s="24">
        <v>3</v>
      </c>
      <c r="V19" s="44">
        <f t="shared" si="17"/>
        <v>47</v>
      </c>
      <c r="W19" s="165">
        <f t="shared" si="1"/>
        <v>23.5</v>
      </c>
      <c r="X19" s="165">
        <f t="shared" si="2"/>
        <v>58.75</v>
      </c>
      <c r="Y19" s="169">
        <f t="shared" si="3"/>
        <v>45.041666666666664</v>
      </c>
      <c r="Z19" s="193">
        <f t="shared" si="4"/>
        <v>22.520833333333332</v>
      </c>
      <c r="AA19" s="173">
        <v>46118</v>
      </c>
      <c r="AB19" s="173">
        <v>46135</v>
      </c>
      <c r="AC19" s="173">
        <v>46136</v>
      </c>
      <c r="AD19" s="213">
        <v>46141</v>
      </c>
      <c r="AE19" s="192">
        <f t="shared" si="5"/>
        <v>1</v>
      </c>
      <c r="AF19" s="192">
        <f t="shared" si="6"/>
        <v>0</v>
      </c>
      <c r="AG19" s="192">
        <f t="shared" si="7"/>
        <v>2.2520833333333332</v>
      </c>
      <c r="AH19" s="192">
        <f t="shared" si="8"/>
        <v>6.8295454545454515</v>
      </c>
      <c r="AI19" s="265">
        <f t="shared" si="9"/>
        <v>0.5</v>
      </c>
      <c r="AJ19" s="192">
        <f t="shared" si="10"/>
        <v>2.5610795454545441</v>
      </c>
      <c r="AK19" s="265">
        <f t="shared" si="11"/>
        <v>3.3781249999999998</v>
      </c>
      <c r="AL19" s="192">
        <f t="shared" si="12"/>
        <v>3</v>
      </c>
      <c r="AM19" s="192">
        <f t="shared" si="13"/>
        <v>0</v>
      </c>
      <c r="AN19" s="192">
        <f t="shared" si="14"/>
        <v>0</v>
      </c>
      <c r="AO19" s="192">
        <f t="shared" si="15"/>
        <v>3</v>
      </c>
      <c r="AP19" s="53">
        <f t="shared" si="16"/>
        <v>19.520833333333329</v>
      </c>
    </row>
    <row r="20" spans="1:43" ht="60.75" customHeight="1">
      <c r="A20" s="1">
        <v>17</v>
      </c>
      <c r="B20" s="288"/>
      <c r="C20" s="288"/>
      <c r="D20" s="51" t="s">
        <v>98</v>
      </c>
      <c r="E20" s="220" t="s">
        <v>99</v>
      </c>
      <c r="F20" s="1" t="s">
        <v>88</v>
      </c>
      <c r="G20" s="1"/>
      <c r="H20" s="24">
        <v>1</v>
      </c>
      <c r="I20" s="24"/>
      <c r="J20" s="24"/>
      <c r="K20" s="24">
        <v>1</v>
      </c>
      <c r="L20" s="24"/>
      <c r="M20" s="24">
        <v>4</v>
      </c>
      <c r="N20" s="24"/>
      <c r="O20" s="24"/>
      <c r="P20" s="24">
        <v>20</v>
      </c>
      <c r="Q20" s="24">
        <v>10</v>
      </c>
      <c r="R20" s="24">
        <v>5</v>
      </c>
      <c r="S20" s="24">
        <v>5</v>
      </c>
      <c r="T20" s="24"/>
      <c r="U20" s="24">
        <v>3</v>
      </c>
      <c r="V20" s="44">
        <f t="shared" si="17"/>
        <v>47</v>
      </c>
      <c r="W20" s="165">
        <f t="shared" si="1"/>
        <v>23.5</v>
      </c>
      <c r="X20" s="165">
        <f t="shared" si="2"/>
        <v>58.75</v>
      </c>
      <c r="Y20" s="169">
        <f t="shared" si="3"/>
        <v>45.041666666666664</v>
      </c>
      <c r="Z20" s="193">
        <f t="shared" si="4"/>
        <v>22.520833333333332</v>
      </c>
      <c r="AA20" s="173">
        <v>46118</v>
      </c>
      <c r="AB20" s="173">
        <v>46128</v>
      </c>
      <c r="AC20" s="173">
        <v>46129</v>
      </c>
      <c r="AD20" s="213">
        <v>46139</v>
      </c>
      <c r="AE20" s="192">
        <f t="shared" si="5"/>
        <v>4</v>
      </c>
      <c r="AF20" s="192">
        <f t="shared" si="6"/>
        <v>0</v>
      </c>
      <c r="AG20" s="192">
        <f t="shared" si="7"/>
        <v>0</v>
      </c>
      <c r="AH20" s="192">
        <f t="shared" si="8"/>
        <v>4.0121212121212118</v>
      </c>
      <c r="AI20" s="265">
        <f t="shared" si="9"/>
        <v>0.5</v>
      </c>
      <c r="AJ20" s="192">
        <f t="shared" si="10"/>
        <v>1.504545454545454</v>
      </c>
      <c r="AK20" s="265">
        <f t="shared" si="11"/>
        <v>3.3781249999999998</v>
      </c>
      <c r="AL20" s="192">
        <f t="shared" si="12"/>
        <v>5</v>
      </c>
      <c r="AM20" s="192">
        <f t="shared" si="13"/>
        <v>1.1260416666666666</v>
      </c>
      <c r="AN20" s="192">
        <f t="shared" si="14"/>
        <v>0</v>
      </c>
      <c r="AO20" s="192">
        <f t="shared" si="15"/>
        <v>3</v>
      </c>
      <c r="AP20" s="53">
        <f t="shared" si="16"/>
        <v>19.520833333333332</v>
      </c>
    </row>
    <row r="21" spans="1:43" ht="15" customHeight="1">
      <c r="A21" s="1">
        <v>18</v>
      </c>
      <c r="B21" s="288"/>
      <c r="C21" s="288"/>
      <c r="D21" s="51" t="s">
        <v>100</v>
      </c>
      <c r="E21" s="51"/>
      <c r="F21" s="1" t="s">
        <v>88</v>
      </c>
      <c r="G21" s="1"/>
      <c r="H21" s="24">
        <v>1</v>
      </c>
      <c r="I21" s="24"/>
      <c r="J21" s="24"/>
      <c r="K21" s="24">
        <v>1</v>
      </c>
      <c r="L21" s="24" t="s">
        <v>69</v>
      </c>
      <c r="M21" s="24">
        <v>5</v>
      </c>
      <c r="N21" s="24"/>
      <c r="O21" s="24"/>
      <c r="P21" s="24"/>
      <c r="Q21" s="24"/>
      <c r="R21" s="24">
        <v>0</v>
      </c>
      <c r="S21" s="24"/>
      <c r="T21" s="24"/>
      <c r="U21" s="24"/>
      <c r="V21" s="44">
        <f t="shared" si="17"/>
        <v>5</v>
      </c>
      <c r="W21" s="165">
        <f t="shared" si="1"/>
        <v>2.5</v>
      </c>
      <c r="X21" s="165">
        <f t="shared" si="2"/>
        <v>6.25</v>
      </c>
      <c r="Y21" s="169">
        <f t="shared" si="3"/>
        <v>4.791666666666667</v>
      </c>
      <c r="Z21" s="193">
        <f t="shared" si="4"/>
        <v>2.3958333333333335</v>
      </c>
      <c r="AA21" s="173"/>
      <c r="AB21" s="173"/>
      <c r="AC21" s="173"/>
      <c r="AD21" s="173"/>
      <c r="AE21" s="192">
        <f t="shared" si="5"/>
        <v>5</v>
      </c>
      <c r="AF21" s="192">
        <f t="shared" si="6"/>
        <v>0</v>
      </c>
      <c r="AG21" s="192">
        <f t="shared" si="7"/>
        <v>0</v>
      </c>
      <c r="AH21" s="192">
        <f t="shared" si="8"/>
        <v>-2.9635416666666665</v>
      </c>
      <c r="AI21" s="265">
        <f t="shared" si="9"/>
        <v>0</v>
      </c>
      <c r="AJ21" s="192">
        <f t="shared" si="10"/>
        <v>0</v>
      </c>
      <c r="AK21" s="265">
        <f t="shared" si="11"/>
        <v>0.359375</v>
      </c>
      <c r="AL21" s="192">
        <f t="shared" si="12"/>
        <v>0</v>
      </c>
      <c r="AM21" s="192">
        <f t="shared" si="13"/>
        <v>0</v>
      </c>
      <c r="AN21" s="192">
        <f t="shared" si="14"/>
        <v>0</v>
      </c>
      <c r="AO21" s="192">
        <f t="shared" si="15"/>
        <v>0</v>
      </c>
      <c r="AP21" s="53">
        <f t="shared" si="16"/>
        <v>2.3958333333333335</v>
      </c>
    </row>
    <row r="22" spans="1:43" ht="15" customHeight="1">
      <c r="A22" s="1">
        <v>19</v>
      </c>
      <c r="B22" s="288"/>
      <c r="C22" s="289"/>
      <c r="D22" s="50" t="s">
        <v>101</v>
      </c>
      <c r="E22" s="50"/>
      <c r="F22" s="1" t="s">
        <v>88</v>
      </c>
      <c r="G22" s="1"/>
      <c r="H22" s="24">
        <v>1</v>
      </c>
      <c r="I22" s="24"/>
      <c r="J22" s="24"/>
      <c r="K22" s="54" t="s">
        <v>102</v>
      </c>
      <c r="L22" s="24" t="s">
        <v>66</v>
      </c>
      <c r="M22" s="24">
        <v>8</v>
      </c>
      <c r="N22" s="24"/>
      <c r="O22" s="24"/>
      <c r="P22" s="24"/>
      <c r="Q22" s="24"/>
      <c r="R22" s="24">
        <v>0</v>
      </c>
      <c r="S22" s="24"/>
      <c r="T22" s="24"/>
      <c r="U22" s="24"/>
      <c r="V22" s="44">
        <f t="shared" si="17"/>
        <v>8</v>
      </c>
      <c r="W22" s="165">
        <f t="shared" si="1"/>
        <v>4</v>
      </c>
      <c r="X22" s="165">
        <f t="shared" si="2"/>
        <v>10</v>
      </c>
      <c r="Y22" s="169">
        <f t="shared" si="3"/>
        <v>7.666666666666667</v>
      </c>
      <c r="Z22" s="193">
        <f t="shared" si="4"/>
        <v>3.8333333333333335</v>
      </c>
      <c r="AA22" s="173"/>
      <c r="AB22" s="173"/>
      <c r="AC22" s="173"/>
      <c r="AD22" s="173"/>
      <c r="AE22" s="192">
        <f t="shared" si="5"/>
        <v>8</v>
      </c>
      <c r="AF22" s="192">
        <f t="shared" si="6"/>
        <v>0</v>
      </c>
      <c r="AG22" s="192">
        <f t="shared" si="7"/>
        <v>0</v>
      </c>
      <c r="AH22" s="192">
        <f t="shared" si="8"/>
        <v>-4.7416666666666663</v>
      </c>
      <c r="AI22" s="265">
        <f t="shared" si="9"/>
        <v>0</v>
      </c>
      <c r="AJ22" s="192">
        <f t="shared" si="10"/>
        <v>0</v>
      </c>
      <c r="AK22" s="265">
        <f t="shared" si="11"/>
        <v>0.57499999999999996</v>
      </c>
      <c r="AL22" s="192">
        <f t="shared" si="12"/>
        <v>0</v>
      </c>
      <c r="AM22" s="192">
        <f t="shared" si="13"/>
        <v>0</v>
      </c>
      <c r="AN22" s="192">
        <f t="shared" si="14"/>
        <v>0</v>
      </c>
      <c r="AO22" s="192">
        <f t="shared" si="15"/>
        <v>0</v>
      </c>
      <c r="AP22" s="53">
        <f t="shared" si="16"/>
        <v>3.8333333333333339</v>
      </c>
    </row>
    <row r="23" spans="1:43" ht="15" customHeight="1">
      <c r="A23" s="1">
        <v>20</v>
      </c>
      <c r="B23" s="288"/>
      <c r="C23" s="287" t="s">
        <v>103</v>
      </c>
      <c r="D23" s="48" t="s">
        <v>104</v>
      </c>
      <c r="E23" s="48"/>
      <c r="F23" s="1" t="s">
        <v>65</v>
      </c>
      <c r="G23" s="1"/>
      <c r="H23" s="24"/>
      <c r="I23" s="24"/>
      <c r="J23" s="24"/>
      <c r="K23" s="24"/>
      <c r="L23" s="24" t="s">
        <v>69</v>
      </c>
      <c r="M23" s="24" t="s">
        <v>105</v>
      </c>
      <c r="N23" s="24"/>
      <c r="O23" s="24"/>
      <c r="P23" s="24"/>
      <c r="Q23" s="24"/>
      <c r="R23" s="24" t="s">
        <v>105</v>
      </c>
      <c r="S23" s="24"/>
      <c r="T23" s="24"/>
      <c r="U23" s="24"/>
      <c r="V23" s="44">
        <f t="shared" si="17"/>
        <v>0</v>
      </c>
      <c r="W23" s="165">
        <f t="shared" si="1"/>
        <v>0</v>
      </c>
      <c r="X23" s="165">
        <f t="shared" si="2"/>
        <v>0</v>
      </c>
      <c r="Y23" s="169">
        <f t="shared" si="3"/>
        <v>0</v>
      </c>
      <c r="Z23" s="193">
        <f t="shared" si="4"/>
        <v>0</v>
      </c>
      <c r="AA23" s="173"/>
      <c r="AB23" s="173"/>
      <c r="AC23" s="173"/>
      <c r="AD23" s="173"/>
      <c r="AE23" s="192" t="str">
        <f t="shared" si="5"/>
        <v>-</v>
      </c>
      <c r="AF23" s="192">
        <f t="shared" si="6"/>
        <v>0</v>
      </c>
      <c r="AG23" s="192">
        <f t="shared" si="7"/>
        <v>0</v>
      </c>
      <c r="AH23" s="192" t="e">
        <f t="shared" si="8"/>
        <v>#VALUE!</v>
      </c>
      <c r="AI23" s="265">
        <f t="shared" si="9"/>
        <v>0</v>
      </c>
      <c r="AJ23" s="192">
        <f t="shared" si="10"/>
        <v>0</v>
      </c>
      <c r="AK23" s="265">
        <f t="shared" si="11"/>
        <v>0</v>
      </c>
      <c r="AL23" s="192" t="str">
        <f t="shared" si="12"/>
        <v>-</v>
      </c>
      <c r="AM23" s="192">
        <f t="shared" si="13"/>
        <v>0</v>
      </c>
      <c r="AN23" s="192">
        <f t="shared" si="14"/>
        <v>0</v>
      </c>
      <c r="AO23" s="192">
        <f t="shared" si="15"/>
        <v>0</v>
      </c>
      <c r="AP23" s="53" t="e">
        <f t="shared" si="16"/>
        <v>#VALUE!</v>
      </c>
    </row>
    <row r="24" spans="1:43" ht="30.75" customHeight="1">
      <c r="A24" s="1">
        <v>21</v>
      </c>
      <c r="B24" s="288"/>
      <c r="C24" s="288"/>
      <c r="D24" s="60" t="s">
        <v>106</v>
      </c>
      <c r="E24" s="60"/>
      <c r="F24" s="1" t="s">
        <v>65</v>
      </c>
      <c r="G24" s="1"/>
      <c r="H24" s="24"/>
      <c r="I24" s="24"/>
      <c r="J24" s="24"/>
      <c r="K24" s="24">
        <v>2</v>
      </c>
      <c r="L24" s="24" t="s">
        <v>69</v>
      </c>
      <c r="M24" s="24" t="s">
        <v>105</v>
      </c>
      <c r="N24" s="24"/>
      <c r="O24" s="24"/>
      <c r="P24" s="24"/>
      <c r="Q24" s="24"/>
      <c r="R24" s="24" t="s">
        <v>105</v>
      </c>
      <c r="S24" s="24"/>
      <c r="T24" s="24"/>
      <c r="U24" s="24"/>
      <c r="V24" s="44">
        <f t="shared" si="17"/>
        <v>0</v>
      </c>
      <c r="W24" s="165">
        <f t="shared" si="1"/>
        <v>0</v>
      </c>
      <c r="X24" s="165">
        <f t="shared" si="2"/>
        <v>0</v>
      </c>
      <c r="Y24" s="169">
        <f t="shared" si="3"/>
        <v>0</v>
      </c>
      <c r="Z24" s="193">
        <f t="shared" si="4"/>
        <v>0</v>
      </c>
      <c r="AA24" s="173"/>
      <c r="AB24" s="173"/>
      <c r="AC24" s="173"/>
      <c r="AD24" s="173"/>
      <c r="AE24" s="192" t="str">
        <f t="shared" si="5"/>
        <v>-</v>
      </c>
      <c r="AF24" s="192">
        <f t="shared" si="6"/>
        <v>0</v>
      </c>
      <c r="AG24" s="192">
        <f t="shared" si="7"/>
        <v>0</v>
      </c>
      <c r="AH24" s="192" t="e">
        <f t="shared" si="8"/>
        <v>#VALUE!</v>
      </c>
      <c r="AI24" s="265">
        <f t="shared" si="9"/>
        <v>0</v>
      </c>
      <c r="AJ24" s="192">
        <f t="shared" si="10"/>
        <v>0</v>
      </c>
      <c r="AK24" s="265">
        <f t="shared" si="11"/>
        <v>0</v>
      </c>
      <c r="AL24" s="192" t="str">
        <f t="shared" si="12"/>
        <v>-</v>
      </c>
      <c r="AM24" s="192">
        <f t="shared" si="13"/>
        <v>0</v>
      </c>
      <c r="AN24" s="192">
        <f t="shared" si="14"/>
        <v>0</v>
      </c>
      <c r="AO24" s="192">
        <f t="shared" si="15"/>
        <v>0</v>
      </c>
      <c r="AP24" s="53" t="e">
        <f t="shared" si="16"/>
        <v>#VALUE!</v>
      </c>
    </row>
    <row r="25" spans="1:43" ht="30.75" customHeight="1">
      <c r="A25" s="1">
        <v>25</v>
      </c>
      <c r="B25" s="288"/>
      <c r="C25" s="289"/>
      <c r="D25" s="60" t="s">
        <v>107</v>
      </c>
      <c r="E25" s="60"/>
      <c r="F25" s="1" t="s">
        <v>65</v>
      </c>
      <c r="G25" s="1" t="s">
        <v>108</v>
      </c>
      <c r="H25" s="24"/>
      <c r="I25" s="24"/>
      <c r="J25" s="24"/>
      <c r="K25" s="24">
        <v>2</v>
      </c>
      <c r="L25" s="24" t="s">
        <v>69</v>
      </c>
      <c r="M25" s="24"/>
      <c r="N25" s="24"/>
      <c r="O25" s="24"/>
      <c r="P25" s="24"/>
      <c r="Q25" s="24"/>
      <c r="R25" s="24"/>
      <c r="S25" s="24"/>
      <c r="T25" s="24"/>
      <c r="U25" s="24"/>
      <c r="V25" s="44">
        <f t="shared" si="17"/>
        <v>0</v>
      </c>
      <c r="W25" s="165">
        <f t="shared" si="1"/>
        <v>0</v>
      </c>
      <c r="X25" s="165">
        <f t="shared" si="2"/>
        <v>0</v>
      </c>
      <c r="Y25" s="169">
        <f t="shared" si="3"/>
        <v>0</v>
      </c>
      <c r="Z25" s="193">
        <f t="shared" si="4"/>
        <v>0</v>
      </c>
      <c r="AA25" s="173"/>
      <c r="AB25" s="173"/>
      <c r="AC25" s="173"/>
      <c r="AD25" s="173"/>
      <c r="AE25" s="192">
        <f t="shared" si="5"/>
        <v>0</v>
      </c>
      <c r="AF25" s="192">
        <f t="shared" si="6"/>
        <v>0</v>
      </c>
      <c r="AG25" s="192">
        <f t="shared" si="7"/>
        <v>0</v>
      </c>
      <c r="AH25" s="192">
        <f t="shared" si="8"/>
        <v>0</v>
      </c>
      <c r="AI25" s="265">
        <f t="shared" si="9"/>
        <v>0</v>
      </c>
      <c r="AJ25" s="192">
        <f t="shared" si="10"/>
        <v>0</v>
      </c>
      <c r="AK25" s="265">
        <f t="shared" si="11"/>
        <v>0</v>
      </c>
      <c r="AL25" s="192">
        <f t="shared" si="12"/>
        <v>0</v>
      </c>
      <c r="AM25" s="192">
        <f t="shared" si="13"/>
        <v>0</v>
      </c>
      <c r="AN25" s="192">
        <f t="shared" si="14"/>
        <v>0</v>
      </c>
      <c r="AO25" s="192">
        <f t="shared" si="15"/>
        <v>0</v>
      </c>
      <c r="AP25" s="53">
        <f t="shared" si="16"/>
        <v>0</v>
      </c>
    </row>
    <row r="26" spans="1:43" ht="15" customHeight="1">
      <c r="A26" s="1">
        <v>26</v>
      </c>
      <c r="B26" s="288"/>
      <c r="C26" s="287" t="s">
        <v>109</v>
      </c>
      <c r="D26" s="188" t="s">
        <v>110</v>
      </c>
      <c r="E26" s="188"/>
      <c r="F26" s="1" t="s">
        <v>68</v>
      </c>
      <c r="G26" s="1" t="s">
        <v>108</v>
      </c>
      <c r="H26" s="24">
        <v>3</v>
      </c>
      <c r="I26" s="24"/>
      <c r="J26" s="24"/>
      <c r="K26" s="24">
        <v>3</v>
      </c>
      <c r="L26" s="24" t="s">
        <v>69</v>
      </c>
      <c r="M26" s="24"/>
      <c r="N26" s="24"/>
      <c r="O26" s="24"/>
      <c r="P26" s="24"/>
      <c r="Q26" s="24"/>
      <c r="R26" s="24"/>
      <c r="S26" s="24"/>
      <c r="T26" s="24"/>
      <c r="U26" s="24"/>
      <c r="V26" s="44">
        <f t="shared" si="17"/>
        <v>0</v>
      </c>
      <c r="W26" s="165">
        <f t="shared" si="1"/>
        <v>0</v>
      </c>
      <c r="X26" s="165">
        <f t="shared" si="2"/>
        <v>0</v>
      </c>
      <c r="Y26" s="169">
        <f t="shared" si="3"/>
        <v>0</v>
      </c>
      <c r="Z26" s="193">
        <f t="shared" si="4"/>
        <v>0</v>
      </c>
      <c r="AA26" s="173"/>
      <c r="AB26" s="173"/>
      <c r="AC26" s="173"/>
      <c r="AD26" s="173"/>
      <c r="AE26" s="192">
        <f t="shared" si="5"/>
        <v>0</v>
      </c>
      <c r="AF26" s="192">
        <f t="shared" si="6"/>
        <v>0</v>
      </c>
      <c r="AG26" s="192">
        <f t="shared" si="7"/>
        <v>0</v>
      </c>
      <c r="AH26" s="192">
        <f t="shared" si="8"/>
        <v>0</v>
      </c>
      <c r="AI26" s="265">
        <f t="shared" si="9"/>
        <v>0</v>
      </c>
      <c r="AJ26" s="192">
        <f t="shared" si="10"/>
        <v>0</v>
      </c>
      <c r="AK26" s="265">
        <f t="shared" si="11"/>
        <v>0</v>
      </c>
      <c r="AL26" s="192">
        <f t="shared" si="12"/>
        <v>0</v>
      </c>
      <c r="AM26" s="192">
        <f t="shared" si="13"/>
        <v>0</v>
      </c>
      <c r="AN26" s="192">
        <f t="shared" si="14"/>
        <v>0</v>
      </c>
      <c r="AO26" s="192">
        <f t="shared" si="15"/>
        <v>0</v>
      </c>
      <c r="AP26" s="53">
        <f t="shared" si="16"/>
        <v>0</v>
      </c>
      <c r="AQ26" t="s">
        <v>111</v>
      </c>
    </row>
    <row r="27" spans="1:43" ht="15" customHeight="1">
      <c r="A27" s="1">
        <v>27</v>
      </c>
      <c r="B27" s="288"/>
      <c r="C27" s="289"/>
      <c r="D27" s="48" t="s">
        <v>112</v>
      </c>
      <c r="E27" s="48"/>
      <c r="F27" s="1" t="s">
        <v>65</v>
      </c>
      <c r="G27" s="1"/>
      <c r="H27" s="24">
        <v>3</v>
      </c>
      <c r="I27" s="24"/>
      <c r="J27" s="24"/>
      <c r="K27" s="24">
        <v>1</v>
      </c>
      <c r="L27" s="24" t="s">
        <v>69</v>
      </c>
      <c r="M27" s="24"/>
      <c r="N27" s="24"/>
      <c r="O27" s="24"/>
      <c r="P27" s="24"/>
      <c r="Q27" s="24"/>
      <c r="R27" s="24"/>
      <c r="S27" s="24"/>
      <c r="T27" s="24"/>
      <c r="U27" s="24"/>
      <c r="V27" s="44">
        <f t="shared" si="17"/>
        <v>0</v>
      </c>
      <c r="W27" s="165">
        <f t="shared" si="1"/>
        <v>0</v>
      </c>
      <c r="X27" s="165">
        <f t="shared" si="2"/>
        <v>0</v>
      </c>
      <c r="Y27" s="169">
        <f t="shared" si="3"/>
        <v>0</v>
      </c>
      <c r="Z27" s="193">
        <f t="shared" si="4"/>
        <v>0</v>
      </c>
      <c r="AA27" s="173"/>
      <c r="AB27" s="173"/>
      <c r="AC27" s="173"/>
      <c r="AD27" s="173"/>
      <c r="AE27" s="192">
        <f t="shared" si="5"/>
        <v>0</v>
      </c>
      <c r="AF27" s="192">
        <f t="shared" si="6"/>
        <v>0</v>
      </c>
      <c r="AG27" s="192">
        <f t="shared" si="7"/>
        <v>0</v>
      </c>
      <c r="AH27" s="192">
        <f t="shared" si="8"/>
        <v>0</v>
      </c>
      <c r="AI27" s="265">
        <f t="shared" si="9"/>
        <v>0</v>
      </c>
      <c r="AJ27" s="192">
        <f t="shared" si="10"/>
        <v>0</v>
      </c>
      <c r="AK27" s="265">
        <f t="shared" si="11"/>
        <v>0</v>
      </c>
      <c r="AL27" s="192">
        <f t="shared" si="12"/>
        <v>0</v>
      </c>
      <c r="AM27" s="192">
        <f t="shared" si="13"/>
        <v>0</v>
      </c>
      <c r="AN27" s="192">
        <f t="shared" si="14"/>
        <v>0</v>
      </c>
      <c r="AO27" s="192">
        <f t="shared" si="15"/>
        <v>0</v>
      </c>
      <c r="AP27" s="53">
        <f t="shared" si="16"/>
        <v>0</v>
      </c>
    </row>
    <row r="28" spans="1:43" ht="60.75" customHeight="1">
      <c r="A28" s="1">
        <v>28</v>
      </c>
      <c r="B28" s="288"/>
      <c r="C28" s="2" t="s">
        <v>113</v>
      </c>
      <c r="D28" s="48" t="s">
        <v>114</v>
      </c>
      <c r="E28" s="220" t="s">
        <v>115</v>
      </c>
      <c r="F28" s="23" t="s">
        <v>65</v>
      </c>
      <c r="G28" s="1"/>
      <c r="H28" s="24">
        <v>1</v>
      </c>
      <c r="I28" s="24"/>
      <c r="J28" s="24"/>
      <c r="K28" s="24">
        <v>2</v>
      </c>
      <c r="L28" s="24" t="s">
        <v>66</v>
      </c>
      <c r="M28" s="24"/>
      <c r="N28" s="24"/>
      <c r="O28" s="24">
        <v>2</v>
      </c>
      <c r="P28" s="24">
        <v>20</v>
      </c>
      <c r="Q28" s="24">
        <v>15</v>
      </c>
      <c r="R28" s="24"/>
      <c r="S28" s="24">
        <v>4</v>
      </c>
      <c r="T28" s="24">
        <v>25</v>
      </c>
      <c r="U28" s="24">
        <f>7+10+2</f>
        <v>19</v>
      </c>
      <c r="V28" s="44">
        <f t="shared" si="17"/>
        <v>85</v>
      </c>
      <c r="W28" s="165">
        <f t="shared" si="1"/>
        <v>42.5</v>
      </c>
      <c r="X28" s="165">
        <f t="shared" si="2"/>
        <v>106.25</v>
      </c>
      <c r="Y28" s="169">
        <f t="shared" si="3"/>
        <v>81.458333333333329</v>
      </c>
      <c r="Z28" s="193">
        <f t="shared" si="4"/>
        <v>40.729166666666664</v>
      </c>
      <c r="AA28" s="173">
        <v>46146</v>
      </c>
      <c r="AB28" s="173">
        <v>46163</v>
      </c>
      <c r="AC28" s="173">
        <v>46164</v>
      </c>
      <c r="AD28" s="173">
        <v>46171</v>
      </c>
      <c r="AE28" s="192">
        <f t="shared" si="5"/>
        <v>0</v>
      </c>
      <c r="AF28" s="192">
        <f t="shared" si="6"/>
        <v>0</v>
      </c>
      <c r="AG28" s="192">
        <f t="shared" si="7"/>
        <v>4.072916666666667</v>
      </c>
      <c r="AH28" s="192">
        <f t="shared" si="8"/>
        <v>3.5909090909090908</v>
      </c>
      <c r="AI28" s="265">
        <f t="shared" si="9"/>
        <v>0.5</v>
      </c>
      <c r="AJ28" s="192">
        <f t="shared" si="10"/>
        <v>1.3465909090909089</v>
      </c>
      <c r="AK28" s="265">
        <f t="shared" si="11"/>
        <v>6.1093749999999991</v>
      </c>
      <c r="AL28" s="192">
        <f t="shared" si="12"/>
        <v>0</v>
      </c>
      <c r="AM28" s="192">
        <f t="shared" si="13"/>
        <v>2.0364583333333335</v>
      </c>
      <c r="AN28" s="192">
        <f t="shared" si="14"/>
        <v>4.072916666666667</v>
      </c>
      <c r="AO28" s="192">
        <f t="shared" si="15"/>
        <v>19</v>
      </c>
      <c r="AP28" s="53">
        <f t="shared" si="16"/>
        <v>17.656249999999996</v>
      </c>
      <c r="AQ28" t="s">
        <v>116</v>
      </c>
    </row>
    <row r="29" spans="1:43" ht="15" customHeight="1">
      <c r="A29" s="1">
        <v>29</v>
      </c>
      <c r="B29" s="288"/>
      <c r="C29" s="287" t="s">
        <v>117</v>
      </c>
      <c r="D29" s="60" t="s">
        <v>118</v>
      </c>
      <c r="E29" s="60"/>
      <c r="F29" s="1" t="s">
        <v>65</v>
      </c>
      <c r="G29" s="1"/>
      <c r="H29" s="24">
        <v>2</v>
      </c>
      <c r="I29" s="24"/>
      <c r="J29" s="24"/>
      <c r="K29" s="24" t="s">
        <v>102</v>
      </c>
      <c r="L29" s="24" t="s">
        <v>69</v>
      </c>
      <c r="M29" s="24"/>
      <c r="N29" s="24"/>
      <c r="O29" s="24"/>
      <c r="P29" s="24"/>
      <c r="Q29" s="24"/>
      <c r="R29" s="24"/>
      <c r="S29" s="24"/>
      <c r="T29" s="24"/>
      <c r="U29" s="24"/>
      <c r="V29" s="44"/>
      <c r="W29" s="165">
        <f t="shared" si="1"/>
        <v>0</v>
      </c>
      <c r="X29" s="165">
        <f t="shared" si="2"/>
        <v>0</v>
      </c>
      <c r="Y29" s="169">
        <f t="shared" si="3"/>
        <v>0</v>
      </c>
      <c r="Z29" s="193">
        <f t="shared" si="4"/>
        <v>0</v>
      </c>
      <c r="AA29" s="173"/>
      <c r="AB29" s="173"/>
      <c r="AC29" s="173"/>
      <c r="AD29" s="173"/>
      <c r="AE29" s="192">
        <f t="shared" si="5"/>
        <v>0</v>
      </c>
      <c r="AF29" s="192">
        <f t="shared" si="6"/>
        <v>0</v>
      </c>
      <c r="AG29" s="192">
        <f t="shared" si="7"/>
        <v>0</v>
      </c>
      <c r="AH29" s="192">
        <f t="shared" si="8"/>
        <v>0</v>
      </c>
      <c r="AI29" s="265">
        <f t="shared" si="9"/>
        <v>0</v>
      </c>
      <c r="AJ29" s="192">
        <f t="shared" si="10"/>
        <v>0</v>
      </c>
      <c r="AK29" s="265">
        <f t="shared" si="11"/>
        <v>0</v>
      </c>
      <c r="AL29" s="192">
        <f t="shared" si="12"/>
        <v>0</v>
      </c>
      <c r="AM29" s="192">
        <f t="shared" si="13"/>
        <v>0</v>
      </c>
      <c r="AN29" s="192">
        <f t="shared" si="14"/>
        <v>0</v>
      </c>
      <c r="AO29" s="192">
        <f t="shared" si="15"/>
        <v>0</v>
      </c>
      <c r="AP29" s="53">
        <f t="shared" si="16"/>
        <v>0</v>
      </c>
    </row>
    <row r="30" spans="1:43" ht="15" customHeight="1">
      <c r="A30" s="1">
        <v>30</v>
      </c>
      <c r="B30" s="288"/>
      <c r="C30" s="289"/>
      <c r="D30" s="60" t="s">
        <v>119</v>
      </c>
      <c r="E30" s="60"/>
      <c r="F30" s="1" t="s">
        <v>65</v>
      </c>
      <c r="G30" s="1"/>
      <c r="H30" s="24"/>
      <c r="I30" s="24"/>
      <c r="J30" s="24"/>
      <c r="K30" s="24"/>
      <c r="L30" s="24" t="s">
        <v>69</v>
      </c>
      <c r="M30" s="24"/>
      <c r="N30" s="24"/>
      <c r="O30" s="24"/>
      <c r="P30" s="24"/>
      <c r="Q30" s="24"/>
      <c r="R30" s="24"/>
      <c r="S30" s="24"/>
      <c r="T30" s="24"/>
      <c r="U30" s="24"/>
      <c r="V30" s="44">
        <f t="shared" ref="V30:V38" si="18">SUM(M30:U30)</f>
        <v>0</v>
      </c>
      <c r="W30" s="165">
        <f t="shared" si="1"/>
        <v>0</v>
      </c>
      <c r="X30" s="165">
        <f t="shared" si="2"/>
        <v>0</v>
      </c>
      <c r="Y30" s="169">
        <f t="shared" si="3"/>
        <v>0</v>
      </c>
      <c r="Z30" s="193">
        <f t="shared" si="4"/>
        <v>0</v>
      </c>
      <c r="AA30" s="173"/>
      <c r="AB30" s="173"/>
      <c r="AC30" s="173"/>
      <c r="AD30" s="173"/>
      <c r="AE30" s="192">
        <f t="shared" si="5"/>
        <v>0</v>
      </c>
      <c r="AF30" s="192">
        <f t="shared" si="6"/>
        <v>0</v>
      </c>
      <c r="AG30" s="192">
        <f t="shared" si="7"/>
        <v>0</v>
      </c>
      <c r="AH30" s="192">
        <f t="shared" si="8"/>
        <v>0</v>
      </c>
      <c r="AI30" s="265">
        <f t="shared" si="9"/>
        <v>0</v>
      </c>
      <c r="AJ30" s="192">
        <f t="shared" si="10"/>
        <v>0</v>
      </c>
      <c r="AK30" s="265">
        <f t="shared" si="11"/>
        <v>0</v>
      </c>
      <c r="AL30" s="192">
        <f t="shared" si="12"/>
        <v>0</v>
      </c>
      <c r="AM30" s="192">
        <f t="shared" si="13"/>
        <v>0</v>
      </c>
      <c r="AN30" s="192">
        <f t="shared" si="14"/>
        <v>0</v>
      </c>
      <c r="AO30" s="192">
        <f t="shared" si="15"/>
        <v>0</v>
      </c>
      <c r="AP30" s="53">
        <f t="shared" si="16"/>
        <v>0</v>
      </c>
    </row>
    <row r="31" spans="1:43" ht="60.75" customHeight="1">
      <c r="A31" s="1">
        <v>31</v>
      </c>
      <c r="B31" s="288"/>
      <c r="C31" s="304" t="s">
        <v>120</v>
      </c>
      <c r="D31" s="48" t="s">
        <v>121</v>
      </c>
      <c r="E31" s="243" t="s">
        <v>122</v>
      </c>
      <c r="F31" s="1" t="s">
        <v>65</v>
      </c>
      <c r="G31" s="1"/>
      <c r="H31" s="24">
        <v>1</v>
      </c>
      <c r="I31" s="24"/>
      <c r="J31" s="24"/>
      <c r="K31" s="24">
        <v>3</v>
      </c>
      <c r="L31" s="24" t="s">
        <v>69</v>
      </c>
      <c r="M31" s="24"/>
      <c r="N31" s="24"/>
      <c r="O31" s="24">
        <v>3</v>
      </c>
      <c r="P31" s="24">
        <f>(21+3)</f>
        <v>24</v>
      </c>
      <c r="Q31" s="24">
        <v>5</v>
      </c>
      <c r="R31" s="24"/>
      <c r="S31" s="24">
        <v>1</v>
      </c>
      <c r="T31" s="24">
        <v>5</v>
      </c>
      <c r="U31" s="24"/>
      <c r="V31" s="44">
        <f t="shared" si="18"/>
        <v>38</v>
      </c>
      <c r="W31" s="165">
        <f t="shared" si="1"/>
        <v>19</v>
      </c>
      <c r="X31" s="165">
        <f t="shared" si="2"/>
        <v>47.5</v>
      </c>
      <c r="Y31" s="169">
        <f t="shared" si="3"/>
        <v>36.416666666666664</v>
      </c>
      <c r="Z31" s="193">
        <f t="shared" si="4"/>
        <v>18.208333333333332</v>
      </c>
      <c r="AA31" s="173">
        <v>46121</v>
      </c>
      <c r="AB31" s="173">
        <v>46134</v>
      </c>
      <c r="AC31" s="173">
        <v>46135</v>
      </c>
      <c r="AD31" s="213">
        <v>46142</v>
      </c>
      <c r="AE31" s="192">
        <f t="shared" si="5"/>
        <v>0</v>
      </c>
      <c r="AF31" s="192">
        <f t="shared" si="6"/>
        <v>0</v>
      </c>
      <c r="AG31" s="192">
        <f t="shared" si="7"/>
        <v>1.8208333333333333</v>
      </c>
      <c r="AH31" s="192">
        <f t="shared" si="8"/>
        <v>7.5818181818181829</v>
      </c>
      <c r="AI31" s="265">
        <f t="shared" si="9"/>
        <v>0.5</v>
      </c>
      <c r="AJ31" s="192">
        <f t="shared" si="10"/>
        <v>2.8431818181818178</v>
      </c>
      <c r="AK31" s="265">
        <f t="shared" si="11"/>
        <v>2.7312499999999997</v>
      </c>
      <c r="AL31" s="192">
        <f t="shared" si="12"/>
        <v>0</v>
      </c>
      <c r="AM31" s="192">
        <f t="shared" si="13"/>
        <v>0.91041666666666665</v>
      </c>
      <c r="AN31" s="192">
        <f t="shared" si="14"/>
        <v>1.8208333333333333</v>
      </c>
      <c r="AO31" s="192">
        <f t="shared" si="15"/>
        <v>0</v>
      </c>
      <c r="AP31" s="53">
        <f t="shared" si="16"/>
        <v>16.387499999999999</v>
      </c>
    </row>
    <row r="32" spans="1:43" ht="60.75" customHeight="1">
      <c r="A32" s="1"/>
      <c r="B32" s="288"/>
      <c r="C32" s="288"/>
      <c r="D32" s="48" t="s">
        <v>123</v>
      </c>
      <c r="E32" s="243" t="s">
        <v>124</v>
      </c>
      <c r="F32" s="1" t="s">
        <v>65</v>
      </c>
      <c r="G32" s="1"/>
      <c r="H32" s="24">
        <v>1</v>
      </c>
      <c r="I32" s="24"/>
      <c r="J32" s="24"/>
      <c r="K32" s="24">
        <v>3</v>
      </c>
      <c r="L32" s="24" t="s">
        <v>69</v>
      </c>
      <c r="M32" s="24"/>
      <c r="N32" s="24"/>
      <c r="O32" s="24">
        <v>6</v>
      </c>
      <c r="P32" s="24">
        <f>(21+6)</f>
        <v>27</v>
      </c>
      <c r="Q32" s="24">
        <v>5</v>
      </c>
      <c r="R32" s="24"/>
      <c r="S32" s="24">
        <v>1</v>
      </c>
      <c r="T32" s="24">
        <v>5</v>
      </c>
      <c r="U32" s="24"/>
      <c r="V32" s="44">
        <f t="shared" si="18"/>
        <v>44</v>
      </c>
      <c r="W32" s="165">
        <f t="shared" si="1"/>
        <v>22</v>
      </c>
      <c r="X32" s="165">
        <f t="shared" si="2"/>
        <v>55</v>
      </c>
      <c r="Y32" s="169">
        <f t="shared" si="3"/>
        <v>42.166666666666664</v>
      </c>
      <c r="Z32" s="193">
        <f t="shared" si="4"/>
        <v>21.083333333333332</v>
      </c>
      <c r="AA32" s="173">
        <v>46146</v>
      </c>
      <c r="AB32" s="173">
        <v>46167</v>
      </c>
      <c r="AC32" s="173">
        <v>46168</v>
      </c>
      <c r="AD32" s="173">
        <v>46175</v>
      </c>
      <c r="AE32" s="192">
        <f t="shared" si="5"/>
        <v>0</v>
      </c>
      <c r="AF32" s="192">
        <f t="shared" si="6"/>
        <v>0</v>
      </c>
      <c r="AG32" s="192">
        <f t="shared" si="7"/>
        <v>2.1083333333333334</v>
      </c>
      <c r="AH32" s="192">
        <f t="shared" si="8"/>
        <v>8.8363636363636342</v>
      </c>
      <c r="AI32" s="265">
        <f t="shared" si="9"/>
        <v>0.5</v>
      </c>
      <c r="AJ32" s="192">
        <f t="shared" si="10"/>
        <v>3.313636363636363</v>
      </c>
      <c r="AK32" s="265">
        <f t="shared" si="11"/>
        <v>3.1624999999999996</v>
      </c>
      <c r="AL32" s="192">
        <f t="shared" si="12"/>
        <v>0</v>
      </c>
      <c r="AM32" s="192">
        <f t="shared" si="13"/>
        <v>1.0541666666666667</v>
      </c>
      <c r="AN32" s="192">
        <f t="shared" si="14"/>
        <v>2.1083333333333334</v>
      </c>
      <c r="AO32" s="192">
        <f t="shared" si="15"/>
        <v>0</v>
      </c>
      <c r="AP32" s="53">
        <f t="shared" si="16"/>
        <v>18.974999999999994</v>
      </c>
    </row>
    <row r="33" spans="1:43" ht="15" customHeight="1">
      <c r="A33" s="1">
        <v>32</v>
      </c>
      <c r="B33" s="288"/>
      <c r="C33" s="288"/>
      <c r="D33" s="48" t="s">
        <v>125</v>
      </c>
      <c r="E33" s="221" t="s">
        <v>126</v>
      </c>
      <c r="F33" s="1" t="s">
        <v>65</v>
      </c>
      <c r="G33" s="1"/>
      <c r="H33" s="24"/>
      <c r="I33" s="24"/>
      <c r="J33" s="24"/>
      <c r="K33" s="24"/>
      <c r="L33" s="24" t="s">
        <v>69</v>
      </c>
      <c r="M33" s="24"/>
      <c r="N33" s="24"/>
      <c r="O33" s="24">
        <v>3</v>
      </c>
      <c r="P33" s="24">
        <f>(12+3)</f>
        <v>15</v>
      </c>
      <c r="Q33" s="24">
        <v>5</v>
      </c>
      <c r="R33" s="24"/>
      <c r="S33" s="24"/>
      <c r="T33" s="24">
        <v>5</v>
      </c>
      <c r="U33" s="24"/>
      <c r="V33" s="44">
        <f t="shared" si="18"/>
        <v>28</v>
      </c>
      <c r="W33" s="165">
        <f t="shared" si="1"/>
        <v>14</v>
      </c>
      <c r="X33" s="165">
        <f t="shared" si="2"/>
        <v>35</v>
      </c>
      <c r="Y33" s="169">
        <f t="shared" si="3"/>
        <v>26.833333333333332</v>
      </c>
      <c r="Z33" s="193">
        <f t="shared" si="4"/>
        <v>13.416666666666666</v>
      </c>
      <c r="AA33" s="173">
        <v>46169</v>
      </c>
      <c r="AB33" s="173">
        <v>46178</v>
      </c>
      <c r="AC33" s="173">
        <v>46181</v>
      </c>
      <c r="AD33" s="173">
        <v>46188</v>
      </c>
      <c r="AE33" s="192">
        <f t="shared" si="5"/>
        <v>0</v>
      </c>
      <c r="AF33" s="192">
        <f t="shared" si="6"/>
        <v>0</v>
      </c>
      <c r="AG33" s="192">
        <f t="shared" si="7"/>
        <v>1.3416666666666668</v>
      </c>
      <c r="AH33" s="192">
        <f t="shared" si="8"/>
        <v>5.9787878787878785</v>
      </c>
      <c r="AI33" s="265">
        <f t="shared" si="9"/>
        <v>0.5</v>
      </c>
      <c r="AJ33" s="192">
        <f t="shared" si="10"/>
        <v>2.2420454545454542</v>
      </c>
      <c r="AK33" s="265">
        <f t="shared" si="11"/>
        <v>2.0124999999999997</v>
      </c>
      <c r="AL33" s="192">
        <f t="shared" si="12"/>
        <v>0</v>
      </c>
      <c r="AM33" s="192">
        <f t="shared" si="13"/>
        <v>0</v>
      </c>
      <c r="AN33" s="192">
        <f t="shared" si="14"/>
        <v>1.3416666666666668</v>
      </c>
      <c r="AO33" s="192">
        <f t="shared" si="15"/>
        <v>0</v>
      </c>
      <c r="AP33" s="53">
        <f t="shared" si="16"/>
        <v>12.074999999999999</v>
      </c>
    </row>
    <row r="34" spans="1:43" ht="15" customHeight="1">
      <c r="A34" s="1">
        <v>33</v>
      </c>
      <c r="B34" s="288"/>
      <c r="C34" s="288"/>
      <c r="D34" s="48" t="s">
        <v>127</v>
      </c>
      <c r="E34" s="221" t="s">
        <v>128</v>
      </c>
      <c r="F34" s="1" t="s">
        <v>65</v>
      </c>
      <c r="G34" s="1"/>
      <c r="H34" s="24"/>
      <c r="I34" s="24"/>
      <c r="J34" s="24"/>
      <c r="K34" s="24"/>
      <c r="L34" s="24"/>
      <c r="M34" s="24"/>
      <c r="N34" s="24"/>
      <c r="O34" s="24">
        <v>3</v>
      </c>
      <c r="P34" s="24">
        <f>(12+3)</f>
        <v>15</v>
      </c>
      <c r="Q34" s="24">
        <v>5</v>
      </c>
      <c r="R34" s="24"/>
      <c r="S34" s="24"/>
      <c r="T34" s="24">
        <v>5</v>
      </c>
      <c r="U34" s="24"/>
      <c r="V34" s="44">
        <f t="shared" si="18"/>
        <v>28</v>
      </c>
      <c r="W34" s="165">
        <f t="shared" si="1"/>
        <v>14</v>
      </c>
      <c r="X34" s="165">
        <f t="shared" si="2"/>
        <v>35</v>
      </c>
      <c r="Y34" s="169">
        <f t="shared" si="3"/>
        <v>26.833333333333332</v>
      </c>
      <c r="Z34" s="193">
        <f t="shared" si="4"/>
        <v>13.416666666666666</v>
      </c>
      <c r="AA34" s="173">
        <v>46182</v>
      </c>
      <c r="AB34" s="173">
        <v>46191</v>
      </c>
      <c r="AC34" s="173">
        <v>46192</v>
      </c>
      <c r="AD34" s="173">
        <v>46199</v>
      </c>
      <c r="AE34" s="192">
        <f t="shared" si="5"/>
        <v>0</v>
      </c>
      <c r="AF34" s="192">
        <f t="shared" si="6"/>
        <v>0</v>
      </c>
      <c r="AG34" s="192">
        <f t="shared" si="7"/>
        <v>1.3416666666666668</v>
      </c>
      <c r="AH34" s="192">
        <f t="shared" si="8"/>
        <v>5.9787878787878785</v>
      </c>
      <c r="AI34" s="265">
        <f t="shared" si="9"/>
        <v>0.5</v>
      </c>
      <c r="AJ34" s="192">
        <f t="shared" si="10"/>
        <v>2.2420454545454542</v>
      </c>
      <c r="AK34" s="265">
        <f t="shared" si="11"/>
        <v>2.0124999999999997</v>
      </c>
      <c r="AL34" s="192">
        <f t="shared" si="12"/>
        <v>0</v>
      </c>
      <c r="AM34" s="192">
        <f t="shared" si="13"/>
        <v>0</v>
      </c>
      <c r="AN34" s="192">
        <f t="shared" si="14"/>
        <v>1.3416666666666668</v>
      </c>
      <c r="AO34" s="192">
        <f t="shared" si="15"/>
        <v>0</v>
      </c>
      <c r="AP34" s="53">
        <f t="shared" si="16"/>
        <v>12.074999999999999</v>
      </c>
    </row>
    <row r="35" spans="1:43" ht="15" customHeight="1">
      <c r="A35" s="1">
        <v>34</v>
      </c>
      <c r="B35" s="288"/>
      <c r="C35" s="289"/>
      <c r="D35" s="48" t="s">
        <v>129</v>
      </c>
      <c r="E35" s="221" t="s">
        <v>130</v>
      </c>
      <c r="F35" s="1" t="s">
        <v>65</v>
      </c>
      <c r="G35" s="1"/>
      <c r="H35" s="24"/>
      <c r="I35" s="24"/>
      <c r="J35" s="24"/>
      <c r="K35" s="24"/>
      <c r="L35" s="24"/>
      <c r="M35" s="24"/>
      <c r="N35" s="24"/>
      <c r="O35" s="24">
        <v>3</v>
      </c>
      <c r="P35" s="24">
        <f>(12+3)</f>
        <v>15</v>
      </c>
      <c r="Q35" s="24">
        <v>5</v>
      </c>
      <c r="R35" s="24"/>
      <c r="S35" s="24"/>
      <c r="T35" s="24">
        <v>5</v>
      </c>
      <c r="U35" s="24"/>
      <c r="V35" s="44">
        <f t="shared" si="18"/>
        <v>28</v>
      </c>
      <c r="W35" s="165">
        <f t="shared" ref="W35:W66" si="19">V35 - (V35 * (SUBSTITUTE(SUBSTITUTE($W$2, "Optimistic (", ""), "%)", "") / 100))</f>
        <v>14</v>
      </c>
      <c r="X35" s="165">
        <f t="shared" ref="X35:X66" si="20">V35 + (W35 * (SUBSTITUTE(SUBSTITUTE($W$2, "Optimistic (", ""), "%)", "") / 100))</f>
        <v>35</v>
      </c>
      <c r="Y35" s="169">
        <f t="shared" ref="Y35:Y66" si="21">(W35+(4*V35)+X35)/6</f>
        <v>26.833333333333332</v>
      </c>
      <c r="Z35" s="193">
        <f t="shared" ref="Z35:Z66" si="22">Y35/2</f>
        <v>13.416666666666666</v>
      </c>
      <c r="AA35" s="173">
        <v>46195</v>
      </c>
      <c r="AB35" s="173">
        <v>46204</v>
      </c>
      <c r="AC35" s="173">
        <v>46205</v>
      </c>
      <c r="AD35" s="173">
        <v>46212</v>
      </c>
      <c r="AE35" s="192">
        <f t="shared" ref="AE35:AE52" si="23">IF($Z35="",0,IF($M35="",0,$M35))</f>
        <v>0</v>
      </c>
      <c r="AF35" s="192">
        <f t="shared" ref="AF35:AF52" si="24">IF(OR($Z35="",$N35=""),0,$Z35*5%)</f>
        <v>0</v>
      </c>
      <c r="AG35" s="192">
        <f t="shared" ref="AG35:AG53" si="25">IF(OR($Z35="",$O35=""),0,$Z35*10%)</f>
        <v>1.3416666666666668</v>
      </c>
      <c r="AH35" s="192">
        <f t="shared" ref="AH35:AH53" si="26">IF($Z35="",0,IF(AND($P35="",$Q35=""),($Z35-$AE35-$AF35-$AG35-$AI35-$AK35-$AL35-$AM35-$AN35-$AO35),IF($P35="",0,IF($Q35="",($Z35-$AE35-$AF35-$AG35-$AI35-$AK35-$AL35-$AM35-$AN35-$AO35),($Z35-$AE35-$AF35-$AG35-$AI35-$AK35-$AL35-$AM35-$AN35-$AO35)*40%/(40%+15%)))))</f>
        <v>5.9787878787878785</v>
      </c>
      <c r="AI35" s="265">
        <f t="shared" ref="AI35:AI53" si="27">IF($Z35="",0,IF($P35="",0,0.5))</f>
        <v>0.5</v>
      </c>
      <c r="AJ35" s="192">
        <f t="shared" ref="AJ35:AJ53" si="28">IF($Z35="",0,IF(AND($P35="",$Q35=""),0,IF($Q35="",0,IF($P35="",($Z35-$AE35-$AF35-$AG35-$AI35-$AK35-$AL35-$AM35-$AN35-$AO35),($Z35-$AE35-$AF35-$AG35-$AI35-$AK35-$AL35-$AM35-$AN35-$AO35)*15%/(40%+15%)))))</f>
        <v>2.2420454545454542</v>
      </c>
      <c r="AK35" s="265">
        <f t="shared" ref="AK35:AK53" si="29">IF($Z35="",0,$Z35*15%)</f>
        <v>2.0124999999999997</v>
      </c>
      <c r="AL35" s="192">
        <f t="shared" ref="AL35:AL53" si="30">IF($Z35="",0,IF($R35="",0,$R35))</f>
        <v>0</v>
      </c>
      <c r="AM35" s="192">
        <f t="shared" ref="AM35:AM53" si="31">IF(OR($Z35="",$S35=""),0,$Z35*5%)</f>
        <v>0</v>
      </c>
      <c r="AN35" s="192">
        <f t="shared" ref="AN35:AN53" si="32">IF(OR($Z35="",$T35=""),0,$Z35*10%)</f>
        <v>1.3416666666666668</v>
      </c>
      <c r="AO35" s="192">
        <f t="shared" ref="AO35:AO53" si="33">IF($Z35="",0,IF($U35="",0,$U35))</f>
        <v>0</v>
      </c>
      <c r="AP35" s="53">
        <f t="shared" ref="AP35:AP52" si="34">SUM(AE35:AM35)</f>
        <v>12.074999999999999</v>
      </c>
    </row>
    <row r="36" spans="1:43" ht="15" customHeight="1">
      <c r="A36" s="1">
        <v>35</v>
      </c>
      <c r="B36" s="288"/>
      <c r="C36" s="249"/>
      <c r="D36" s="48" t="s">
        <v>131</v>
      </c>
      <c r="E36" s="221" t="s">
        <v>132</v>
      </c>
      <c r="F36" s="1" t="s">
        <v>65</v>
      </c>
      <c r="G36" s="1"/>
      <c r="H36" s="24"/>
      <c r="I36" s="24"/>
      <c r="J36" s="24"/>
      <c r="K36" s="24"/>
      <c r="L36" s="24"/>
      <c r="M36" s="24"/>
      <c r="N36" s="24"/>
      <c r="O36" s="24">
        <v>3</v>
      </c>
      <c r="P36" s="24">
        <f>(12+3)</f>
        <v>15</v>
      </c>
      <c r="Q36" s="24">
        <v>5</v>
      </c>
      <c r="R36" s="24"/>
      <c r="S36" s="24"/>
      <c r="T36" s="24">
        <v>5</v>
      </c>
      <c r="U36" s="24"/>
      <c r="V36" s="44">
        <f t="shared" si="18"/>
        <v>28</v>
      </c>
      <c r="W36" s="165">
        <f t="shared" si="19"/>
        <v>14</v>
      </c>
      <c r="X36" s="165">
        <f t="shared" si="20"/>
        <v>35</v>
      </c>
      <c r="Y36" s="169">
        <f t="shared" si="21"/>
        <v>26.833333333333332</v>
      </c>
      <c r="Z36" s="193">
        <f t="shared" si="22"/>
        <v>13.416666666666666</v>
      </c>
      <c r="AA36" s="173">
        <v>46206</v>
      </c>
      <c r="AB36" s="173">
        <v>46217</v>
      </c>
      <c r="AC36" s="173">
        <v>46218</v>
      </c>
      <c r="AD36" s="173">
        <v>46225</v>
      </c>
      <c r="AE36" s="192">
        <f t="shared" si="23"/>
        <v>0</v>
      </c>
      <c r="AF36" s="192">
        <f t="shared" si="24"/>
        <v>0</v>
      </c>
      <c r="AG36" s="192">
        <f t="shared" si="25"/>
        <v>1.3416666666666668</v>
      </c>
      <c r="AH36" s="192">
        <f t="shared" si="26"/>
        <v>5.9787878787878785</v>
      </c>
      <c r="AI36" s="265">
        <f t="shared" si="27"/>
        <v>0.5</v>
      </c>
      <c r="AJ36" s="192">
        <f t="shared" si="28"/>
        <v>2.2420454545454542</v>
      </c>
      <c r="AK36" s="265">
        <f t="shared" si="29"/>
        <v>2.0124999999999997</v>
      </c>
      <c r="AL36" s="192">
        <f t="shared" si="30"/>
        <v>0</v>
      </c>
      <c r="AM36" s="192">
        <f t="shared" si="31"/>
        <v>0</v>
      </c>
      <c r="AN36" s="192">
        <f t="shared" si="32"/>
        <v>1.3416666666666668</v>
      </c>
      <c r="AO36" s="192">
        <f t="shared" si="33"/>
        <v>0</v>
      </c>
      <c r="AP36" s="53">
        <f t="shared" si="34"/>
        <v>12.074999999999999</v>
      </c>
    </row>
    <row r="37" spans="1:43" ht="15" customHeight="1">
      <c r="A37" s="1">
        <v>36</v>
      </c>
      <c r="B37" s="288"/>
      <c r="C37" s="33" t="s">
        <v>133</v>
      </c>
      <c r="D37" s="48" t="s">
        <v>134</v>
      </c>
      <c r="E37" s="48"/>
      <c r="F37" s="1" t="s">
        <v>65</v>
      </c>
      <c r="G37" s="1"/>
      <c r="H37" s="24">
        <v>1</v>
      </c>
      <c r="I37" s="24"/>
      <c r="J37" s="24"/>
      <c r="K37" s="24"/>
      <c r="L37" s="24" t="s">
        <v>69</v>
      </c>
      <c r="M37" s="24"/>
      <c r="N37" s="24"/>
      <c r="O37" s="24"/>
      <c r="P37" s="24">
        <v>4</v>
      </c>
      <c r="Q37" s="24">
        <v>3</v>
      </c>
      <c r="R37" s="24"/>
      <c r="S37" s="24">
        <v>1</v>
      </c>
      <c r="T37" s="24"/>
      <c r="U37" s="24"/>
      <c r="V37" s="44">
        <f t="shared" si="18"/>
        <v>8</v>
      </c>
      <c r="W37" s="165">
        <f t="shared" si="19"/>
        <v>4</v>
      </c>
      <c r="X37" s="165">
        <f t="shared" si="20"/>
        <v>10</v>
      </c>
      <c r="Y37" s="169">
        <f t="shared" si="21"/>
        <v>7.666666666666667</v>
      </c>
      <c r="Z37" s="193">
        <f t="shared" si="22"/>
        <v>3.8333333333333335</v>
      </c>
      <c r="AA37" s="173"/>
      <c r="AB37" s="173"/>
      <c r="AC37" s="173"/>
      <c r="AD37" s="173"/>
      <c r="AE37" s="192">
        <f t="shared" si="23"/>
        <v>0</v>
      </c>
      <c r="AF37" s="192">
        <f t="shared" si="24"/>
        <v>0</v>
      </c>
      <c r="AG37" s="192">
        <f t="shared" si="25"/>
        <v>0</v>
      </c>
      <c r="AH37" s="192">
        <f t="shared" si="26"/>
        <v>1.8666666666666669</v>
      </c>
      <c r="AI37" s="265">
        <f t="shared" si="27"/>
        <v>0.5</v>
      </c>
      <c r="AJ37" s="192">
        <f t="shared" si="28"/>
        <v>0.7</v>
      </c>
      <c r="AK37" s="265">
        <f t="shared" si="29"/>
        <v>0.57499999999999996</v>
      </c>
      <c r="AL37" s="192">
        <f t="shared" si="30"/>
        <v>0</v>
      </c>
      <c r="AM37" s="192">
        <f t="shared" si="31"/>
        <v>0.19166666666666668</v>
      </c>
      <c r="AN37" s="192">
        <f t="shared" si="32"/>
        <v>0</v>
      </c>
      <c r="AO37" s="192">
        <f t="shared" si="33"/>
        <v>0</v>
      </c>
      <c r="AP37" s="53">
        <f t="shared" si="34"/>
        <v>3.8333333333333344</v>
      </c>
    </row>
    <row r="38" spans="1:43" ht="30.75" customHeight="1">
      <c r="A38" s="1">
        <v>37</v>
      </c>
      <c r="B38" s="288"/>
      <c r="C38" s="303" t="s">
        <v>135</v>
      </c>
      <c r="D38" s="48" t="s">
        <v>136</v>
      </c>
      <c r="E38" s="48"/>
      <c r="F38" s="1" t="s">
        <v>72</v>
      </c>
      <c r="G38" s="1"/>
      <c r="H38" s="24">
        <v>3</v>
      </c>
      <c r="I38" s="24"/>
      <c r="J38" s="24"/>
      <c r="K38" s="24">
        <v>1</v>
      </c>
      <c r="L38" s="24" t="s">
        <v>69</v>
      </c>
      <c r="M38" s="24"/>
      <c r="N38" s="24"/>
      <c r="O38" s="24"/>
      <c r="P38" s="24"/>
      <c r="Q38" s="24"/>
      <c r="R38" s="24"/>
      <c r="S38" s="24"/>
      <c r="T38" s="24"/>
      <c r="U38" s="24"/>
      <c r="V38" s="44">
        <f t="shared" si="18"/>
        <v>0</v>
      </c>
      <c r="W38" s="165">
        <f t="shared" si="19"/>
        <v>0</v>
      </c>
      <c r="X38" s="165">
        <f t="shared" si="20"/>
        <v>0</v>
      </c>
      <c r="Y38" s="169">
        <f t="shared" si="21"/>
        <v>0</v>
      </c>
      <c r="Z38" s="193">
        <f t="shared" si="22"/>
        <v>0</v>
      </c>
      <c r="AA38" s="173"/>
      <c r="AB38" s="173"/>
      <c r="AC38" s="173"/>
      <c r="AD38" s="173"/>
      <c r="AE38" s="192">
        <f t="shared" si="23"/>
        <v>0</v>
      </c>
      <c r="AF38" s="192">
        <f t="shared" si="24"/>
        <v>0</v>
      </c>
      <c r="AG38" s="192">
        <f t="shared" si="25"/>
        <v>0</v>
      </c>
      <c r="AH38" s="192">
        <f t="shared" si="26"/>
        <v>0</v>
      </c>
      <c r="AI38" s="265">
        <f t="shared" si="27"/>
        <v>0</v>
      </c>
      <c r="AJ38" s="192">
        <f t="shared" si="28"/>
        <v>0</v>
      </c>
      <c r="AK38" s="265">
        <f t="shared" si="29"/>
        <v>0</v>
      </c>
      <c r="AL38" s="192">
        <f t="shared" si="30"/>
        <v>0</v>
      </c>
      <c r="AM38" s="192">
        <f t="shared" si="31"/>
        <v>0</v>
      </c>
      <c r="AN38" s="192">
        <f t="shared" si="32"/>
        <v>0</v>
      </c>
      <c r="AO38" s="192">
        <f t="shared" si="33"/>
        <v>0</v>
      </c>
      <c r="AP38" s="53">
        <f t="shared" si="34"/>
        <v>0</v>
      </c>
      <c r="AQ38" t="s">
        <v>137</v>
      </c>
    </row>
    <row r="39" spans="1:43" ht="30.75" customHeight="1">
      <c r="A39" s="1">
        <v>38</v>
      </c>
      <c r="B39" s="288"/>
      <c r="C39" s="289"/>
      <c r="D39" s="48" t="s">
        <v>138</v>
      </c>
      <c r="E39" s="48"/>
      <c r="F39" s="1" t="s">
        <v>72</v>
      </c>
      <c r="G39" s="1"/>
      <c r="H39" s="24">
        <v>3</v>
      </c>
      <c r="I39" s="24"/>
      <c r="J39" s="24"/>
      <c r="K39" s="24">
        <v>2</v>
      </c>
      <c r="L39" s="24" t="s">
        <v>69</v>
      </c>
      <c r="M39" s="24"/>
      <c r="N39" s="24"/>
      <c r="O39" s="24"/>
      <c r="P39" s="24"/>
      <c r="Q39" s="24"/>
      <c r="R39" s="24"/>
      <c r="S39" s="24"/>
      <c r="T39" s="24"/>
      <c r="U39" s="24"/>
      <c r="V39" s="44"/>
      <c r="W39" s="165">
        <f t="shared" si="19"/>
        <v>0</v>
      </c>
      <c r="X39" s="165">
        <f t="shared" si="20"/>
        <v>0</v>
      </c>
      <c r="Y39" s="169">
        <f t="shared" si="21"/>
        <v>0</v>
      </c>
      <c r="Z39" s="193">
        <f t="shared" si="22"/>
        <v>0</v>
      </c>
      <c r="AA39" s="173"/>
      <c r="AB39" s="173"/>
      <c r="AC39" s="173"/>
      <c r="AD39" s="173"/>
      <c r="AE39" s="192">
        <f t="shared" si="23"/>
        <v>0</v>
      </c>
      <c r="AF39" s="192">
        <f t="shared" si="24"/>
        <v>0</v>
      </c>
      <c r="AG39" s="192">
        <f t="shared" si="25"/>
        <v>0</v>
      </c>
      <c r="AH39" s="192">
        <f t="shared" si="26"/>
        <v>0</v>
      </c>
      <c r="AI39" s="265">
        <f t="shared" si="27"/>
        <v>0</v>
      </c>
      <c r="AJ39" s="192">
        <f t="shared" si="28"/>
        <v>0</v>
      </c>
      <c r="AK39" s="265">
        <f t="shared" si="29"/>
        <v>0</v>
      </c>
      <c r="AL39" s="192">
        <f t="shared" si="30"/>
        <v>0</v>
      </c>
      <c r="AM39" s="192">
        <f t="shared" si="31"/>
        <v>0</v>
      </c>
      <c r="AN39" s="192">
        <f t="shared" si="32"/>
        <v>0</v>
      </c>
      <c r="AO39" s="192">
        <f t="shared" si="33"/>
        <v>0</v>
      </c>
      <c r="AP39" s="53">
        <f t="shared" si="34"/>
        <v>0</v>
      </c>
    </row>
    <row r="40" spans="1:43" ht="15" customHeight="1">
      <c r="A40" s="1">
        <v>39</v>
      </c>
      <c r="B40" s="288"/>
      <c r="C40" s="248" t="s">
        <v>139</v>
      </c>
      <c r="D40" s="60" t="s">
        <v>140</v>
      </c>
      <c r="E40" s="60"/>
      <c r="F40" s="1" t="s">
        <v>72</v>
      </c>
      <c r="G40" s="1"/>
      <c r="H40" s="24">
        <v>3</v>
      </c>
      <c r="I40" s="24"/>
      <c r="J40" s="24"/>
      <c r="K40" s="24">
        <v>1</v>
      </c>
      <c r="L40" s="24" t="s">
        <v>69</v>
      </c>
      <c r="M40" s="24"/>
      <c r="N40" s="24"/>
      <c r="O40" s="24">
        <v>10</v>
      </c>
      <c r="P40" s="24"/>
      <c r="Q40" s="24"/>
      <c r="R40" s="24"/>
      <c r="S40" s="24"/>
      <c r="T40" s="24"/>
      <c r="U40" s="24"/>
      <c r="V40" s="44">
        <f t="shared" ref="V40:V52" si="35">SUM(M40:U40)</f>
        <v>10</v>
      </c>
      <c r="W40" s="165">
        <f t="shared" si="19"/>
        <v>5</v>
      </c>
      <c r="X40" s="165">
        <f t="shared" si="20"/>
        <v>12.5</v>
      </c>
      <c r="Y40" s="169">
        <f t="shared" si="21"/>
        <v>9.5833333333333339</v>
      </c>
      <c r="Z40" s="193">
        <f t="shared" si="22"/>
        <v>4.791666666666667</v>
      </c>
      <c r="AA40" s="173"/>
      <c r="AB40" s="173"/>
      <c r="AC40" s="173"/>
      <c r="AD40" s="173"/>
      <c r="AE40" s="192">
        <f t="shared" si="23"/>
        <v>0</v>
      </c>
      <c r="AF40" s="192">
        <f t="shared" si="24"/>
        <v>0</v>
      </c>
      <c r="AG40" s="192">
        <f t="shared" si="25"/>
        <v>0.47916666666666674</v>
      </c>
      <c r="AH40" s="192">
        <f t="shared" si="26"/>
        <v>3.59375</v>
      </c>
      <c r="AI40" s="265">
        <f t="shared" si="27"/>
        <v>0</v>
      </c>
      <c r="AJ40" s="192">
        <f t="shared" si="28"/>
        <v>0</v>
      </c>
      <c r="AK40" s="265">
        <f t="shared" si="29"/>
        <v>0.71875</v>
      </c>
      <c r="AL40" s="192">
        <f t="shared" si="30"/>
        <v>0</v>
      </c>
      <c r="AM40" s="192">
        <f t="shared" si="31"/>
        <v>0</v>
      </c>
      <c r="AN40" s="192">
        <f t="shared" si="32"/>
        <v>0</v>
      </c>
      <c r="AO40" s="192">
        <f t="shared" si="33"/>
        <v>0</v>
      </c>
      <c r="AP40" s="53">
        <f t="shared" si="34"/>
        <v>4.791666666666667</v>
      </c>
      <c r="AQ40" t="s">
        <v>141</v>
      </c>
    </row>
    <row r="41" spans="1:43" ht="15" customHeight="1">
      <c r="A41" s="1">
        <v>40</v>
      </c>
      <c r="B41" s="288"/>
      <c r="C41" s="287" t="s">
        <v>142</v>
      </c>
      <c r="D41" s="187" t="s">
        <v>143</v>
      </c>
      <c r="E41" s="187"/>
      <c r="F41" s="1" t="s">
        <v>65</v>
      </c>
      <c r="G41" s="1"/>
      <c r="H41" s="24">
        <v>2</v>
      </c>
      <c r="I41" s="24"/>
      <c r="J41" s="24"/>
      <c r="K41" s="24">
        <v>1</v>
      </c>
      <c r="L41" s="24" t="s">
        <v>69</v>
      </c>
      <c r="M41" s="24"/>
      <c r="N41" s="24"/>
      <c r="O41" s="24">
        <v>2</v>
      </c>
      <c r="P41" s="24">
        <v>8</v>
      </c>
      <c r="Q41" s="24">
        <v>5</v>
      </c>
      <c r="R41" s="24"/>
      <c r="S41" s="24">
        <v>5</v>
      </c>
      <c r="T41" s="24"/>
      <c r="U41" s="24"/>
      <c r="V41" s="44">
        <f t="shared" si="35"/>
        <v>20</v>
      </c>
      <c r="W41" s="165">
        <f t="shared" si="19"/>
        <v>10</v>
      </c>
      <c r="X41" s="165">
        <f t="shared" si="20"/>
        <v>25</v>
      </c>
      <c r="Y41" s="169">
        <f t="shared" si="21"/>
        <v>19.166666666666668</v>
      </c>
      <c r="Z41" s="193">
        <f t="shared" si="22"/>
        <v>9.5833333333333339</v>
      </c>
      <c r="AA41" s="173"/>
      <c r="AB41" s="173"/>
      <c r="AC41" s="173"/>
      <c r="AD41" s="173"/>
      <c r="AE41" s="192">
        <f t="shared" si="23"/>
        <v>0</v>
      </c>
      <c r="AF41" s="192">
        <f t="shared" si="24"/>
        <v>0</v>
      </c>
      <c r="AG41" s="192">
        <f t="shared" si="25"/>
        <v>0.95833333333333348</v>
      </c>
      <c r="AH41" s="192">
        <f t="shared" si="26"/>
        <v>4.5151515151515147</v>
      </c>
      <c r="AI41" s="265">
        <f t="shared" si="27"/>
        <v>0.5</v>
      </c>
      <c r="AJ41" s="192">
        <f t="shared" si="28"/>
        <v>1.6931818181818179</v>
      </c>
      <c r="AK41" s="265">
        <f t="shared" si="29"/>
        <v>1.4375</v>
      </c>
      <c r="AL41" s="192">
        <f t="shared" si="30"/>
        <v>0</v>
      </c>
      <c r="AM41" s="192">
        <f t="shared" si="31"/>
        <v>0.47916666666666674</v>
      </c>
      <c r="AN41" s="192">
        <f t="shared" si="32"/>
        <v>0</v>
      </c>
      <c r="AO41" s="192">
        <f t="shared" si="33"/>
        <v>0</v>
      </c>
      <c r="AP41" s="53">
        <f t="shared" si="34"/>
        <v>9.5833333333333321</v>
      </c>
      <c r="AQ41" t="s">
        <v>144</v>
      </c>
    </row>
    <row r="42" spans="1:43" ht="15" customHeight="1">
      <c r="A42" s="1">
        <v>41</v>
      </c>
      <c r="B42" s="289"/>
      <c r="C42" s="289"/>
      <c r="D42" s="187" t="s">
        <v>145</v>
      </c>
      <c r="E42" s="187"/>
      <c r="F42" s="1" t="s">
        <v>65</v>
      </c>
      <c r="G42" s="1"/>
      <c r="H42" s="24">
        <v>2</v>
      </c>
      <c r="I42" s="24"/>
      <c r="J42" s="24"/>
      <c r="K42" s="24">
        <v>1</v>
      </c>
      <c r="L42" s="24" t="s">
        <v>69</v>
      </c>
      <c r="M42" s="24"/>
      <c r="N42" s="24"/>
      <c r="O42" s="24"/>
      <c r="P42" s="24"/>
      <c r="Q42" s="24"/>
      <c r="R42" s="24"/>
      <c r="S42" s="24"/>
      <c r="T42" s="24"/>
      <c r="U42" s="24"/>
      <c r="V42" s="44">
        <f t="shared" si="35"/>
        <v>0</v>
      </c>
      <c r="W42" s="165">
        <f t="shared" si="19"/>
        <v>0</v>
      </c>
      <c r="X42" s="165">
        <f t="shared" si="20"/>
        <v>0</v>
      </c>
      <c r="Y42" s="169">
        <f t="shared" si="21"/>
        <v>0</v>
      </c>
      <c r="Z42" s="193">
        <f t="shared" si="22"/>
        <v>0</v>
      </c>
      <c r="AA42" s="173"/>
      <c r="AB42" s="173"/>
      <c r="AC42" s="173"/>
      <c r="AD42" s="173"/>
      <c r="AE42" s="192">
        <f t="shared" si="23"/>
        <v>0</v>
      </c>
      <c r="AF42" s="192">
        <f t="shared" si="24"/>
        <v>0</v>
      </c>
      <c r="AG42" s="192">
        <f t="shared" si="25"/>
        <v>0</v>
      </c>
      <c r="AH42" s="192">
        <f t="shared" si="26"/>
        <v>0</v>
      </c>
      <c r="AI42" s="265">
        <f t="shared" si="27"/>
        <v>0</v>
      </c>
      <c r="AJ42" s="192">
        <f t="shared" si="28"/>
        <v>0</v>
      </c>
      <c r="AK42" s="265">
        <f t="shared" si="29"/>
        <v>0</v>
      </c>
      <c r="AL42" s="192">
        <f t="shared" si="30"/>
        <v>0</v>
      </c>
      <c r="AM42" s="192">
        <f t="shared" si="31"/>
        <v>0</v>
      </c>
      <c r="AN42" s="192">
        <f t="shared" si="32"/>
        <v>0</v>
      </c>
      <c r="AO42" s="192">
        <f t="shared" si="33"/>
        <v>0</v>
      </c>
      <c r="AP42" s="53">
        <f t="shared" si="34"/>
        <v>0</v>
      </c>
      <c r="AQ42" t="s">
        <v>144</v>
      </c>
    </row>
    <row r="43" spans="1:43" ht="15" customHeight="1">
      <c r="A43" s="1">
        <v>42</v>
      </c>
      <c r="B43" s="290" t="s">
        <v>146</v>
      </c>
      <c r="C43" s="293" t="s">
        <v>147</v>
      </c>
      <c r="D43" s="48" t="s">
        <v>148</v>
      </c>
      <c r="E43" s="48"/>
      <c r="F43" s="1" t="s">
        <v>65</v>
      </c>
      <c r="G43" s="1"/>
      <c r="H43" s="24"/>
      <c r="I43" s="24"/>
      <c r="J43" s="24"/>
      <c r="K43" s="24">
        <v>1</v>
      </c>
      <c r="L43" s="24" t="s">
        <v>69</v>
      </c>
      <c r="M43" s="24"/>
      <c r="N43" s="24"/>
      <c r="O43" s="24">
        <v>1</v>
      </c>
      <c r="P43" s="24">
        <v>2</v>
      </c>
      <c r="Q43" s="24">
        <v>2</v>
      </c>
      <c r="R43" s="24"/>
      <c r="S43" s="24">
        <v>1</v>
      </c>
      <c r="T43" s="24"/>
      <c r="U43" s="24"/>
      <c r="V43" s="44">
        <f t="shared" si="35"/>
        <v>6</v>
      </c>
      <c r="W43" s="165">
        <f t="shared" si="19"/>
        <v>3</v>
      </c>
      <c r="X43" s="165">
        <f t="shared" si="20"/>
        <v>7.5</v>
      </c>
      <c r="Y43" s="169">
        <f t="shared" si="21"/>
        <v>5.75</v>
      </c>
      <c r="Z43" s="193">
        <f t="shared" si="22"/>
        <v>2.875</v>
      </c>
      <c r="AA43" s="173"/>
      <c r="AB43" s="173"/>
      <c r="AC43" s="173"/>
      <c r="AD43" s="173"/>
      <c r="AE43" s="192">
        <f t="shared" si="23"/>
        <v>0</v>
      </c>
      <c r="AF43" s="192">
        <f t="shared" si="24"/>
        <v>0</v>
      </c>
      <c r="AG43" s="192">
        <f t="shared" si="25"/>
        <v>0.28750000000000003</v>
      </c>
      <c r="AH43" s="192">
        <f t="shared" si="26"/>
        <v>1.0999999999999999</v>
      </c>
      <c r="AI43" s="265">
        <f t="shared" si="27"/>
        <v>0.5</v>
      </c>
      <c r="AJ43" s="192">
        <f t="shared" si="28"/>
        <v>0.41249999999999998</v>
      </c>
      <c r="AK43" s="265">
        <f t="shared" si="29"/>
        <v>0.43124999999999997</v>
      </c>
      <c r="AL43" s="192">
        <f t="shared" si="30"/>
        <v>0</v>
      </c>
      <c r="AM43" s="192">
        <f t="shared" si="31"/>
        <v>0.14375000000000002</v>
      </c>
      <c r="AN43" s="192">
        <f t="shared" si="32"/>
        <v>0</v>
      </c>
      <c r="AO43" s="192">
        <f t="shared" si="33"/>
        <v>0</v>
      </c>
      <c r="AP43" s="53">
        <f t="shared" si="34"/>
        <v>2.8749999999999996</v>
      </c>
      <c r="AQ43" t="s">
        <v>149</v>
      </c>
    </row>
    <row r="44" spans="1:43" ht="15" customHeight="1">
      <c r="A44" s="1">
        <v>43</v>
      </c>
      <c r="B44" s="288"/>
      <c r="C44" s="289"/>
      <c r="D44" s="48" t="s">
        <v>150</v>
      </c>
      <c r="E44" s="48"/>
      <c r="F44" s="1" t="s">
        <v>72</v>
      </c>
      <c r="G44" s="1"/>
      <c r="H44" s="275">
        <v>1</v>
      </c>
      <c r="I44" s="24"/>
      <c r="J44" s="24"/>
      <c r="K44" s="24" t="s">
        <v>102</v>
      </c>
      <c r="L44" s="24" t="s">
        <v>69</v>
      </c>
      <c r="M44" s="24"/>
      <c r="N44" s="24"/>
      <c r="O44" s="24"/>
      <c r="P44" s="24"/>
      <c r="Q44" s="24"/>
      <c r="R44" s="24"/>
      <c r="S44" s="24"/>
      <c r="T44" s="24"/>
      <c r="U44" s="24"/>
      <c r="V44" s="44">
        <f t="shared" si="35"/>
        <v>0</v>
      </c>
      <c r="W44" s="165">
        <f t="shared" si="19"/>
        <v>0</v>
      </c>
      <c r="X44" s="165">
        <f t="shared" si="20"/>
        <v>0</v>
      </c>
      <c r="Y44" s="169">
        <f t="shared" si="21"/>
        <v>0</v>
      </c>
      <c r="Z44" s="193">
        <f t="shared" si="22"/>
        <v>0</v>
      </c>
      <c r="AA44" s="173"/>
      <c r="AB44" s="173"/>
      <c r="AC44" s="173"/>
      <c r="AD44" s="173"/>
      <c r="AE44" s="192">
        <f t="shared" si="23"/>
        <v>0</v>
      </c>
      <c r="AF44" s="192">
        <f t="shared" si="24"/>
        <v>0</v>
      </c>
      <c r="AG44" s="192">
        <f t="shared" si="25"/>
        <v>0</v>
      </c>
      <c r="AH44" s="192">
        <f t="shared" si="26"/>
        <v>0</v>
      </c>
      <c r="AI44" s="265">
        <f t="shared" si="27"/>
        <v>0</v>
      </c>
      <c r="AJ44" s="192">
        <f t="shared" si="28"/>
        <v>0</v>
      </c>
      <c r="AK44" s="265">
        <f t="shared" si="29"/>
        <v>0</v>
      </c>
      <c r="AL44" s="192">
        <f t="shared" si="30"/>
        <v>0</v>
      </c>
      <c r="AM44" s="192">
        <f t="shared" si="31"/>
        <v>0</v>
      </c>
      <c r="AN44" s="192">
        <f t="shared" si="32"/>
        <v>0</v>
      </c>
      <c r="AO44" s="192">
        <f t="shared" si="33"/>
        <v>0</v>
      </c>
      <c r="AP44" s="53">
        <f t="shared" si="34"/>
        <v>0</v>
      </c>
    </row>
    <row r="45" spans="1:43" ht="60.75" customHeight="1">
      <c r="A45" s="1">
        <v>44</v>
      </c>
      <c r="B45" s="288"/>
      <c r="C45" s="2" t="s">
        <v>151</v>
      </c>
      <c r="D45" s="48" t="s">
        <v>152</v>
      </c>
      <c r="E45" s="243" t="s">
        <v>153</v>
      </c>
      <c r="F45" s="33" t="s">
        <v>154</v>
      </c>
      <c r="G45" s="1"/>
      <c r="H45" s="275">
        <v>3</v>
      </c>
      <c r="I45" s="24"/>
      <c r="J45" s="24"/>
      <c r="K45" s="24">
        <v>1</v>
      </c>
      <c r="L45" s="24" t="s">
        <v>69</v>
      </c>
      <c r="M45" s="24"/>
      <c r="N45" s="24"/>
      <c r="O45" s="24">
        <v>10</v>
      </c>
      <c r="P45" s="24">
        <v>30</v>
      </c>
      <c r="Q45" s="24">
        <v>10</v>
      </c>
      <c r="R45" s="24"/>
      <c r="S45" s="24"/>
      <c r="T45" s="24">
        <v>5</v>
      </c>
      <c r="U45" s="24">
        <f>10+2</f>
        <v>12</v>
      </c>
      <c r="V45" s="44">
        <f t="shared" si="35"/>
        <v>67</v>
      </c>
      <c r="W45" s="165">
        <f t="shared" si="19"/>
        <v>33.5</v>
      </c>
      <c r="X45" s="165">
        <f t="shared" si="20"/>
        <v>83.75</v>
      </c>
      <c r="Y45" s="169">
        <f t="shared" si="21"/>
        <v>64.208333333333329</v>
      </c>
      <c r="Z45" s="193">
        <f t="shared" si="22"/>
        <v>32.104166666666664</v>
      </c>
      <c r="AA45" s="173">
        <v>46146</v>
      </c>
      <c r="AB45" s="173">
        <v>46171</v>
      </c>
      <c r="AC45" s="173">
        <v>46174</v>
      </c>
      <c r="AD45" s="173">
        <v>46183</v>
      </c>
      <c r="AE45" s="192">
        <f t="shared" si="23"/>
        <v>0</v>
      </c>
      <c r="AF45" s="192">
        <f t="shared" si="24"/>
        <v>0</v>
      </c>
      <c r="AG45" s="192">
        <f t="shared" si="25"/>
        <v>3.2104166666666667</v>
      </c>
      <c r="AH45" s="192">
        <f t="shared" si="26"/>
        <v>6.0856060606060582</v>
      </c>
      <c r="AI45" s="265">
        <f t="shared" si="27"/>
        <v>0.5</v>
      </c>
      <c r="AJ45" s="192">
        <f t="shared" si="28"/>
        <v>2.2821022727272711</v>
      </c>
      <c r="AK45" s="265">
        <f t="shared" si="29"/>
        <v>4.8156249999999998</v>
      </c>
      <c r="AL45" s="192">
        <f t="shared" si="30"/>
        <v>0</v>
      </c>
      <c r="AM45" s="192">
        <f t="shared" si="31"/>
        <v>0</v>
      </c>
      <c r="AN45" s="192">
        <f t="shared" si="32"/>
        <v>3.2104166666666667</v>
      </c>
      <c r="AO45" s="192">
        <f t="shared" si="33"/>
        <v>12</v>
      </c>
      <c r="AP45" s="53">
        <f t="shared" si="34"/>
        <v>16.893749999999997</v>
      </c>
    </row>
    <row r="46" spans="1:43" ht="15" customHeight="1">
      <c r="A46" s="1">
        <v>45</v>
      </c>
      <c r="B46" s="288"/>
      <c r="C46" s="2" t="s">
        <v>155</v>
      </c>
      <c r="D46" s="60" t="s">
        <v>155</v>
      </c>
      <c r="E46" s="60"/>
      <c r="F46" s="1" t="s">
        <v>156</v>
      </c>
      <c r="G46" s="1"/>
      <c r="H46" s="275">
        <v>2</v>
      </c>
      <c r="I46" s="24"/>
      <c r="J46" s="24"/>
      <c r="K46" s="24">
        <v>1</v>
      </c>
      <c r="L46" s="24" t="s">
        <v>69</v>
      </c>
      <c r="M46" s="24"/>
      <c r="N46" s="24"/>
      <c r="O46" s="24"/>
      <c r="P46" s="24"/>
      <c r="Q46" s="24"/>
      <c r="R46" s="24"/>
      <c r="S46" s="24"/>
      <c r="T46" s="24"/>
      <c r="U46" s="24"/>
      <c r="V46" s="44">
        <f t="shared" si="35"/>
        <v>0</v>
      </c>
      <c r="W46" s="165">
        <f t="shared" si="19"/>
        <v>0</v>
      </c>
      <c r="X46" s="165">
        <f t="shared" si="20"/>
        <v>0</v>
      </c>
      <c r="Y46" s="169">
        <f t="shared" si="21"/>
        <v>0</v>
      </c>
      <c r="Z46" s="193">
        <f t="shared" si="22"/>
        <v>0</v>
      </c>
      <c r="AA46" s="173"/>
      <c r="AB46" s="173"/>
      <c r="AC46" s="173"/>
      <c r="AD46" s="173"/>
      <c r="AE46" s="192">
        <f t="shared" si="23"/>
        <v>0</v>
      </c>
      <c r="AF46" s="192">
        <f t="shared" si="24"/>
        <v>0</v>
      </c>
      <c r="AG46" s="192">
        <f t="shared" si="25"/>
        <v>0</v>
      </c>
      <c r="AH46" s="192">
        <f t="shared" si="26"/>
        <v>0</v>
      </c>
      <c r="AI46" s="265">
        <f t="shared" si="27"/>
        <v>0</v>
      </c>
      <c r="AJ46" s="192">
        <f t="shared" si="28"/>
        <v>0</v>
      </c>
      <c r="AK46" s="265">
        <f t="shared" si="29"/>
        <v>0</v>
      </c>
      <c r="AL46" s="192">
        <f t="shared" si="30"/>
        <v>0</v>
      </c>
      <c r="AM46" s="192">
        <f t="shared" si="31"/>
        <v>0</v>
      </c>
      <c r="AN46" s="192">
        <f t="shared" si="32"/>
        <v>0</v>
      </c>
      <c r="AO46" s="192">
        <f t="shared" si="33"/>
        <v>0</v>
      </c>
      <c r="AP46" s="53">
        <f t="shared" si="34"/>
        <v>0</v>
      </c>
    </row>
    <row r="47" spans="1:43" ht="15" customHeight="1">
      <c r="A47" s="1">
        <v>46</v>
      </c>
      <c r="B47" s="288"/>
      <c r="C47" s="215" t="s">
        <v>157</v>
      </c>
      <c r="D47" s="60" t="s">
        <v>158</v>
      </c>
      <c r="E47" s="60"/>
      <c r="F47" s="1" t="s">
        <v>72</v>
      </c>
      <c r="G47" s="1"/>
      <c r="H47" s="275">
        <v>1</v>
      </c>
      <c r="I47" s="24"/>
      <c r="J47" s="24"/>
      <c r="K47" s="24" t="s">
        <v>102</v>
      </c>
      <c r="L47" s="24"/>
      <c r="M47" s="24"/>
      <c r="N47" s="24"/>
      <c r="O47" s="24"/>
      <c r="P47" s="24"/>
      <c r="Q47" s="24"/>
      <c r="R47" s="24"/>
      <c r="S47" s="24"/>
      <c r="T47" s="24"/>
      <c r="U47" s="24"/>
      <c r="V47" s="44">
        <f t="shared" si="35"/>
        <v>0</v>
      </c>
      <c r="W47" s="165">
        <f t="shared" si="19"/>
        <v>0</v>
      </c>
      <c r="X47" s="165">
        <f t="shared" si="20"/>
        <v>0</v>
      </c>
      <c r="Y47" s="169">
        <f t="shared" si="21"/>
        <v>0</v>
      </c>
      <c r="Z47" s="193">
        <f t="shared" si="22"/>
        <v>0</v>
      </c>
      <c r="AA47" s="173"/>
      <c r="AB47" s="173"/>
      <c r="AC47" s="173"/>
      <c r="AD47" s="173"/>
      <c r="AE47" s="192">
        <f t="shared" si="23"/>
        <v>0</v>
      </c>
      <c r="AF47" s="192">
        <f t="shared" si="24"/>
        <v>0</v>
      </c>
      <c r="AG47" s="192">
        <f t="shared" si="25"/>
        <v>0</v>
      </c>
      <c r="AH47" s="192">
        <f t="shared" si="26"/>
        <v>0</v>
      </c>
      <c r="AI47" s="265">
        <f t="shared" si="27"/>
        <v>0</v>
      </c>
      <c r="AJ47" s="192">
        <f t="shared" si="28"/>
        <v>0</v>
      </c>
      <c r="AK47" s="265">
        <f t="shared" si="29"/>
        <v>0</v>
      </c>
      <c r="AL47" s="192">
        <f t="shared" si="30"/>
        <v>0</v>
      </c>
      <c r="AM47" s="192">
        <f t="shared" si="31"/>
        <v>0</v>
      </c>
      <c r="AN47" s="192">
        <f t="shared" si="32"/>
        <v>0</v>
      </c>
      <c r="AO47" s="192">
        <f t="shared" si="33"/>
        <v>0</v>
      </c>
      <c r="AP47" s="53">
        <f t="shared" si="34"/>
        <v>0</v>
      </c>
    </row>
    <row r="48" spans="1:43" ht="60.75" customHeight="1">
      <c r="A48" s="1">
        <v>47</v>
      </c>
      <c r="B48" s="288"/>
      <c r="C48" s="26" t="s">
        <v>159</v>
      </c>
      <c r="D48" s="48" t="s">
        <v>159</v>
      </c>
      <c r="E48" s="220" t="s">
        <v>160</v>
      </c>
      <c r="F48" s="270" t="s">
        <v>65</v>
      </c>
      <c r="G48" s="1"/>
      <c r="H48" s="275">
        <v>2</v>
      </c>
      <c r="I48" s="24"/>
      <c r="J48" s="24"/>
      <c r="K48" s="24">
        <v>1</v>
      </c>
      <c r="L48" s="24" t="s">
        <v>69</v>
      </c>
      <c r="M48" s="24"/>
      <c r="N48" s="24">
        <v>5</v>
      </c>
      <c r="O48" s="24">
        <v>5</v>
      </c>
      <c r="P48" s="24">
        <v>12</v>
      </c>
      <c r="Q48" s="24">
        <v>5</v>
      </c>
      <c r="R48" s="24"/>
      <c r="S48" s="24"/>
      <c r="T48" s="24"/>
      <c r="U48" s="24">
        <v>12</v>
      </c>
      <c r="V48" s="44">
        <f t="shared" si="35"/>
        <v>39</v>
      </c>
      <c r="W48" s="165">
        <f t="shared" si="19"/>
        <v>19.5</v>
      </c>
      <c r="X48" s="165">
        <f t="shared" si="20"/>
        <v>48.75</v>
      </c>
      <c r="Y48" s="169">
        <f t="shared" si="21"/>
        <v>37.375</v>
      </c>
      <c r="Z48" s="193">
        <f t="shared" si="22"/>
        <v>18.6875</v>
      </c>
      <c r="AA48" s="173">
        <v>46125</v>
      </c>
      <c r="AB48" s="173">
        <v>46142</v>
      </c>
      <c r="AC48" s="173">
        <v>46146</v>
      </c>
      <c r="AD48" s="173">
        <v>46149</v>
      </c>
      <c r="AE48" s="192">
        <f t="shared" si="23"/>
        <v>0</v>
      </c>
      <c r="AF48" s="192">
        <f t="shared" si="24"/>
        <v>0.93437500000000007</v>
      </c>
      <c r="AG48" s="192">
        <f t="shared" si="25"/>
        <v>1.8687500000000001</v>
      </c>
      <c r="AH48" s="192">
        <f t="shared" si="26"/>
        <v>0.42272727272727323</v>
      </c>
      <c r="AI48" s="265">
        <f t="shared" si="27"/>
        <v>0.5</v>
      </c>
      <c r="AJ48" s="192">
        <f t="shared" si="28"/>
        <v>0.15852272727272743</v>
      </c>
      <c r="AK48" s="265">
        <f t="shared" si="29"/>
        <v>2.8031250000000001</v>
      </c>
      <c r="AL48" s="192">
        <f t="shared" si="30"/>
        <v>0</v>
      </c>
      <c r="AM48" s="192">
        <f t="shared" si="31"/>
        <v>0</v>
      </c>
      <c r="AN48" s="192">
        <f t="shared" si="32"/>
        <v>0</v>
      </c>
      <c r="AO48" s="192">
        <f t="shared" si="33"/>
        <v>12</v>
      </c>
      <c r="AP48" s="53">
        <f t="shared" si="34"/>
        <v>6.6875000000000009</v>
      </c>
    </row>
    <row r="49" spans="1:43" ht="15" customHeight="1">
      <c r="A49" s="1"/>
      <c r="B49" s="289"/>
      <c r="C49" s="180" t="s">
        <v>161</v>
      </c>
      <c r="D49" s="181" t="s">
        <v>162</v>
      </c>
      <c r="E49" s="221" t="s">
        <v>163</v>
      </c>
      <c r="F49" s="1" t="s">
        <v>68</v>
      </c>
      <c r="G49" s="1"/>
      <c r="I49" s="24"/>
      <c r="J49" s="24"/>
      <c r="K49" s="24"/>
      <c r="L49" s="24"/>
      <c r="M49" s="24"/>
      <c r="N49" s="24">
        <v>0</v>
      </c>
      <c r="O49" s="24">
        <v>5</v>
      </c>
      <c r="P49" s="24">
        <v>10</v>
      </c>
      <c r="Q49" s="24">
        <v>5</v>
      </c>
      <c r="R49" s="24"/>
      <c r="S49" s="24">
        <v>3</v>
      </c>
      <c r="T49" s="24">
        <v>5</v>
      </c>
      <c r="U49" s="24">
        <v>10</v>
      </c>
      <c r="V49" s="44">
        <f t="shared" si="35"/>
        <v>38</v>
      </c>
      <c r="W49" s="165">
        <f t="shared" si="19"/>
        <v>19</v>
      </c>
      <c r="X49" s="165">
        <f t="shared" si="20"/>
        <v>47.5</v>
      </c>
      <c r="Y49" s="169">
        <f t="shared" si="21"/>
        <v>36.416666666666664</v>
      </c>
      <c r="Z49" s="193">
        <f t="shared" si="22"/>
        <v>18.208333333333332</v>
      </c>
      <c r="AA49" s="173">
        <v>46098</v>
      </c>
      <c r="AB49" s="173">
        <v>46115</v>
      </c>
      <c r="AC49" s="173">
        <v>46121</v>
      </c>
      <c r="AD49" s="213">
        <v>46128</v>
      </c>
      <c r="AE49" s="192">
        <f t="shared" si="23"/>
        <v>0</v>
      </c>
      <c r="AF49" s="192">
        <f t="shared" si="24"/>
        <v>0.91041666666666665</v>
      </c>
      <c r="AG49" s="192">
        <f t="shared" si="25"/>
        <v>1.8208333333333333</v>
      </c>
      <c r="AH49" s="192">
        <f t="shared" si="26"/>
        <v>-0.35303030303030231</v>
      </c>
      <c r="AI49" s="265">
        <f t="shared" si="27"/>
        <v>0.5</v>
      </c>
      <c r="AJ49" s="192">
        <f t="shared" si="28"/>
        <v>-0.13238636363636336</v>
      </c>
      <c r="AK49" s="265">
        <f t="shared" si="29"/>
        <v>2.7312499999999997</v>
      </c>
      <c r="AL49" s="192">
        <f t="shared" si="30"/>
        <v>0</v>
      </c>
      <c r="AM49" s="192">
        <f t="shared" si="31"/>
        <v>0.91041666666666665</v>
      </c>
      <c r="AN49" s="192">
        <f t="shared" si="32"/>
        <v>1.8208333333333333</v>
      </c>
      <c r="AO49" s="192">
        <f t="shared" si="33"/>
        <v>10</v>
      </c>
      <c r="AP49" s="280">
        <f t="shared" si="34"/>
        <v>6.3875000000000011</v>
      </c>
    </row>
    <row r="50" spans="1:43" ht="15" customHeight="1">
      <c r="A50" s="1">
        <v>48</v>
      </c>
      <c r="B50" s="290" t="s">
        <v>164</v>
      </c>
      <c r="C50" s="287" t="s">
        <v>165</v>
      </c>
      <c r="D50" s="50" t="s">
        <v>166</v>
      </c>
      <c r="E50" s="50"/>
      <c r="F50" s="1" t="s">
        <v>72</v>
      </c>
      <c r="G50" s="1"/>
      <c r="H50" s="275">
        <v>1</v>
      </c>
      <c r="I50" s="24"/>
      <c r="J50" s="24"/>
      <c r="K50" s="24">
        <v>1</v>
      </c>
      <c r="L50" s="24" t="s">
        <v>66</v>
      </c>
      <c r="M50" s="24"/>
      <c r="N50" s="24"/>
      <c r="O50" s="24"/>
      <c r="P50" s="24"/>
      <c r="Q50" s="24"/>
      <c r="R50" s="24"/>
      <c r="S50" s="24"/>
      <c r="T50" s="24"/>
      <c r="U50" s="24"/>
      <c r="V50" s="44">
        <f t="shared" si="35"/>
        <v>0</v>
      </c>
      <c r="W50" s="165">
        <f t="shared" si="19"/>
        <v>0</v>
      </c>
      <c r="X50" s="165">
        <f t="shared" si="20"/>
        <v>0</v>
      </c>
      <c r="Y50" s="169">
        <f t="shared" si="21"/>
        <v>0</v>
      </c>
      <c r="Z50" s="193">
        <f t="shared" si="22"/>
        <v>0</v>
      </c>
      <c r="AA50" s="173"/>
      <c r="AB50" s="173"/>
      <c r="AC50" s="173"/>
      <c r="AD50" s="173"/>
      <c r="AE50" s="192">
        <f t="shared" si="23"/>
        <v>0</v>
      </c>
      <c r="AF50" s="192">
        <f t="shared" si="24"/>
        <v>0</v>
      </c>
      <c r="AG50" s="192">
        <f t="shared" si="25"/>
        <v>0</v>
      </c>
      <c r="AH50" s="192">
        <f t="shared" si="26"/>
        <v>0</v>
      </c>
      <c r="AI50" s="265">
        <f t="shared" si="27"/>
        <v>0</v>
      </c>
      <c r="AJ50" s="192">
        <f t="shared" si="28"/>
        <v>0</v>
      </c>
      <c r="AK50" s="265">
        <f t="shared" si="29"/>
        <v>0</v>
      </c>
      <c r="AL50" s="192">
        <f t="shared" si="30"/>
        <v>0</v>
      </c>
      <c r="AM50" s="192">
        <f t="shared" si="31"/>
        <v>0</v>
      </c>
      <c r="AN50" s="192">
        <f t="shared" si="32"/>
        <v>0</v>
      </c>
      <c r="AO50" s="192">
        <f t="shared" si="33"/>
        <v>0</v>
      </c>
      <c r="AP50" s="53">
        <f t="shared" si="34"/>
        <v>0</v>
      </c>
    </row>
    <row r="51" spans="1:43" ht="15" customHeight="1">
      <c r="A51" s="1">
        <v>49</v>
      </c>
      <c r="B51" s="288"/>
      <c r="C51" s="289"/>
      <c r="D51" s="61" t="s">
        <v>165</v>
      </c>
      <c r="E51" s="61"/>
      <c r="F51" s="62" t="s">
        <v>72</v>
      </c>
      <c r="G51" s="62"/>
      <c r="H51" s="63">
        <v>1</v>
      </c>
      <c r="I51" s="64"/>
      <c r="J51" s="64"/>
      <c r="K51" s="64">
        <v>2</v>
      </c>
      <c r="L51" s="64" t="s">
        <v>69</v>
      </c>
      <c r="M51" s="64"/>
      <c r="N51" s="64"/>
      <c r="O51" s="64"/>
      <c r="P51" s="64"/>
      <c r="Q51" s="64"/>
      <c r="R51" s="64"/>
      <c r="S51" s="64"/>
      <c r="T51" s="64"/>
      <c r="U51" s="24"/>
      <c r="V51" s="44">
        <f t="shared" si="35"/>
        <v>0</v>
      </c>
      <c r="W51" s="165">
        <f t="shared" si="19"/>
        <v>0</v>
      </c>
      <c r="X51" s="165">
        <f t="shared" si="20"/>
        <v>0</v>
      </c>
      <c r="Y51" s="169">
        <f t="shared" si="21"/>
        <v>0</v>
      </c>
      <c r="Z51" s="193">
        <f t="shared" si="22"/>
        <v>0</v>
      </c>
      <c r="AA51" s="173"/>
      <c r="AB51" s="173"/>
      <c r="AC51" s="173"/>
      <c r="AD51" s="173"/>
      <c r="AE51" s="192">
        <f t="shared" si="23"/>
        <v>0</v>
      </c>
      <c r="AF51" s="192">
        <f t="shared" si="24"/>
        <v>0</v>
      </c>
      <c r="AG51" s="192">
        <f t="shared" si="25"/>
        <v>0</v>
      </c>
      <c r="AH51" s="192">
        <f t="shared" si="26"/>
        <v>0</v>
      </c>
      <c r="AI51" s="265">
        <f t="shared" si="27"/>
        <v>0</v>
      </c>
      <c r="AJ51" s="192">
        <f t="shared" si="28"/>
        <v>0</v>
      </c>
      <c r="AK51" s="265">
        <f t="shared" si="29"/>
        <v>0</v>
      </c>
      <c r="AL51" s="192">
        <f t="shared" si="30"/>
        <v>0</v>
      </c>
      <c r="AM51" s="192">
        <f t="shared" si="31"/>
        <v>0</v>
      </c>
      <c r="AN51" s="192">
        <f t="shared" si="32"/>
        <v>0</v>
      </c>
      <c r="AO51" s="192">
        <f t="shared" si="33"/>
        <v>0</v>
      </c>
      <c r="AP51" s="53">
        <f t="shared" si="34"/>
        <v>0</v>
      </c>
    </row>
    <row r="52" spans="1:43" ht="15" customHeight="1">
      <c r="A52" s="1">
        <v>50</v>
      </c>
      <c r="B52" s="289"/>
      <c r="C52" s="216" t="s">
        <v>167</v>
      </c>
      <c r="D52" s="50" t="s">
        <v>168</v>
      </c>
      <c r="E52" s="50"/>
      <c r="F52" s="1" t="s">
        <v>65</v>
      </c>
      <c r="G52" s="1"/>
      <c r="H52" s="275">
        <v>3</v>
      </c>
      <c r="I52" s="24"/>
      <c r="J52" s="24"/>
      <c r="K52" s="24">
        <v>3</v>
      </c>
      <c r="L52" s="24" t="s">
        <v>69</v>
      </c>
      <c r="M52" s="24"/>
      <c r="N52" s="24"/>
      <c r="O52" s="24"/>
      <c r="P52" s="24"/>
      <c r="Q52" s="24"/>
      <c r="R52" s="24"/>
      <c r="S52" s="24"/>
      <c r="T52" s="24"/>
      <c r="U52" s="24"/>
      <c r="V52" s="44">
        <f t="shared" si="35"/>
        <v>0</v>
      </c>
      <c r="W52" s="165">
        <f t="shared" si="19"/>
        <v>0</v>
      </c>
      <c r="X52" s="165">
        <f t="shared" si="20"/>
        <v>0</v>
      </c>
      <c r="Y52" s="169">
        <f t="shared" si="21"/>
        <v>0</v>
      </c>
      <c r="Z52" s="193">
        <f t="shared" si="22"/>
        <v>0</v>
      </c>
      <c r="AA52" s="173"/>
      <c r="AB52" s="173"/>
      <c r="AC52" s="173"/>
      <c r="AD52" s="173"/>
      <c r="AE52" s="192">
        <f t="shared" si="23"/>
        <v>0</v>
      </c>
      <c r="AF52" s="192">
        <f t="shared" si="24"/>
        <v>0</v>
      </c>
      <c r="AG52" s="192">
        <f t="shared" si="25"/>
        <v>0</v>
      </c>
      <c r="AH52" s="192">
        <f t="shared" si="26"/>
        <v>0</v>
      </c>
      <c r="AI52" s="265">
        <f t="shared" si="27"/>
        <v>0</v>
      </c>
      <c r="AJ52" s="192">
        <f t="shared" si="28"/>
        <v>0</v>
      </c>
      <c r="AK52" s="265">
        <f t="shared" si="29"/>
        <v>0</v>
      </c>
      <c r="AL52" s="192">
        <f t="shared" si="30"/>
        <v>0</v>
      </c>
      <c r="AM52" s="192">
        <f t="shared" si="31"/>
        <v>0</v>
      </c>
      <c r="AN52" s="192">
        <f t="shared" si="32"/>
        <v>0</v>
      </c>
      <c r="AO52" s="192">
        <f t="shared" si="33"/>
        <v>0</v>
      </c>
      <c r="AP52" s="53">
        <f t="shared" si="34"/>
        <v>0</v>
      </c>
      <c r="AQ52" t="s">
        <v>169</v>
      </c>
    </row>
    <row r="53" spans="1:43" ht="15" customHeight="1">
      <c r="M53" s="24"/>
      <c r="N53" s="24"/>
      <c r="O53" s="24"/>
      <c r="P53" s="24"/>
      <c r="Q53" s="24"/>
      <c r="R53" s="24"/>
      <c r="S53" s="24"/>
      <c r="T53" s="24"/>
      <c r="V53" s="122">
        <f>SUM(V3:V52)*Settings!I2</f>
        <v>0</v>
      </c>
      <c r="W53" s="170">
        <f>SUM(W3:W52)*Settings!I2</f>
        <v>0</v>
      </c>
      <c r="X53" s="170">
        <f>SUM(X3:X52)*Settings!I2</f>
        <v>0</v>
      </c>
      <c r="Y53" s="171">
        <f>SUM(Y3:Y52)*Settings!I2</f>
        <v>0</v>
      </c>
      <c r="Z53" s="171">
        <f>SUM(Z3:Z52)*Settings!I2</f>
        <v>0</v>
      </c>
      <c r="AA53" s="164"/>
      <c r="AB53" s="164"/>
      <c r="AC53" s="164"/>
      <c r="AD53" s="164"/>
      <c r="AE53" s="170">
        <f>SUM(AE3:AE52)</f>
        <v>20</v>
      </c>
      <c r="AF53" s="170">
        <f>SUM(AF3:AF52)</f>
        <v>4.2645833333333334</v>
      </c>
      <c r="AG53" s="170">
        <f t="shared" si="25"/>
        <v>0</v>
      </c>
      <c r="AH53" s="170">
        <f t="shared" si="26"/>
        <v>-24.264583333333334</v>
      </c>
      <c r="AI53" s="266">
        <f t="shared" si="27"/>
        <v>0</v>
      </c>
      <c r="AJ53" s="170">
        <f t="shared" si="28"/>
        <v>0</v>
      </c>
      <c r="AK53" s="266">
        <f t="shared" si="29"/>
        <v>0</v>
      </c>
      <c r="AL53" s="170">
        <f t="shared" si="30"/>
        <v>0</v>
      </c>
      <c r="AM53" s="170">
        <f t="shared" si="31"/>
        <v>0</v>
      </c>
      <c r="AN53" s="170">
        <f t="shared" si="32"/>
        <v>0</v>
      </c>
      <c r="AO53" s="170">
        <f t="shared" si="33"/>
        <v>0</v>
      </c>
      <c r="AP53" s="53"/>
    </row>
  </sheetData>
  <mergeCells count="18">
    <mergeCell ref="M1:V1"/>
    <mergeCell ref="B3:B9"/>
    <mergeCell ref="B43:B49"/>
    <mergeCell ref="W1:AO1"/>
    <mergeCell ref="C38:C39"/>
    <mergeCell ref="C3:C4"/>
    <mergeCell ref="C31:C35"/>
    <mergeCell ref="C7:C9"/>
    <mergeCell ref="C41:C42"/>
    <mergeCell ref="B11:B42"/>
    <mergeCell ref="B50:B52"/>
    <mergeCell ref="A1:D1"/>
    <mergeCell ref="C43:C44"/>
    <mergeCell ref="C11:C22"/>
    <mergeCell ref="C29:C30"/>
    <mergeCell ref="C23:C25"/>
    <mergeCell ref="C50:C51"/>
    <mergeCell ref="C26:C27"/>
  </mergeCells>
  <hyperlinks>
    <hyperlink ref="E3" r:id="rId1" xr:uid="{00000000-0004-0000-0100-000000000000}"/>
    <hyperlink ref="E7" r:id="rId2" xr:uid="{00000000-0004-0000-0100-000001000000}"/>
    <hyperlink ref="E8" r:id="rId3" xr:uid="{00000000-0004-0000-0100-000002000000}"/>
    <hyperlink ref="E9" r:id="rId4" xr:uid="{00000000-0004-0000-0100-000003000000}"/>
    <hyperlink ref="E10" r:id="rId5" xr:uid="{00000000-0004-0000-0100-000004000000}"/>
    <hyperlink ref="E19" r:id="rId6" xr:uid="{00000000-0004-0000-0100-000005000000}"/>
    <hyperlink ref="E20" r:id="rId7" xr:uid="{00000000-0004-0000-0100-000006000000}"/>
    <hyperlink ref="E28" r:id="rId8" xr:uid="{00000000-0004-0000-0100-000007000000}"/>
    <hyperlink ref="E31" r:id="rId9" xr:uid="{00000000-0004-0000-0100-000008000000}"/>
    <hyperlink ref="E32" r:id="rId10" xr:uid="{00000000-0004-0000-0100-000009000000}"/>
    <hyperlink ref="E33" r:id="rId11" xr:uid="{00000000-0004-0000-0100-00000A000000}"/>
    <hyperlink ref="E34" r:id="rId12" xr:uid="{00000000-0004-0000-0100-00000B000000}"/>
    <hyperlink ref="E35" r:id="rId13" xr:uid="{00000000-0004-0000-0100-00000C000000}"/>
    <hyperlink ref="E36" r:id="rId14" xr:uid="{00000000-0004-0000-0100-00000D000000}"/>
    <hyperlink ref="E45" r:id="rId15" xr:uid="{00000000-0004-0000-0100-00000E000000}"/>
    <hyperlink ref="E48" r:id="rId16" xr:uid="{00000000-0004-0000-0100-00000F000000}"/>
    <hyperlink ref="E49" r:id="rId17" xr:uid="{00000000-0004-0000-0100-000010000000}"/>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D6"/>
  <sheetViews>
    <sheetView workbookViewId="0">
      <selection activeCell="B16" sqref="B16"/>
    </sheetView>
  </sheetViews>
  <sheetFormatPr defaultRowHeight="14.4"/>
  <cols>
    <col min="2" max="2" width="15.5546875" style="276" customWidth="1"/>
    <col min="3" max="3" width="11" style="276" customWidth="1"/>
    <col min="4" max="4" width="12.109375" style="276" customWidth="1"/>
  </cols>
  <sheetData>
    <row r="1" spans="2:4">
      <c r="C1" t="s">
        <v>170</v>
      </c>
    </row>
    <row r="2" spans="2:4">
      <c r="B2" t="s">
        <v>171</v>
      </c>
      <c r="C2">
        <v>20</v>
      </c>
      <c r="D2">
        <f>C2*3</f>
        <v>60</v>
      </c>
    </row>
    <row r="3" spans="2:4">
      <c r="B3" s="35">
        <v>0.3</v>
      </c>
      <c r="C3">
        <f>C2*1.3</f>
        <v>26</v>
      </c>
      <c r="D3">
        <f>C3</f>
        <v>26</v>
      </c>
    </row>
    <row r="4" spans="2:4">
      <c r="C4">
        <f>C2/1.5</f>
        <v>13.333333333333334</v>
      </c>
      <c r="D4">
        <f>C4</f>
        <v>13.333333333333334</v>
      </c>
    </row>
    <row r="5" spans="2:4">
      <c r="D5">
        <f>SUM(D2:D4)</f>
        <v>99.333333333333329</v>
      </c>
    </row>
    <row r="6" spans="2:4">
      <c r="D6">
        <f>D5/6</f>
        <v>16.555555555555554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AQ60"/>
  <sheetViews>
    <sheetView tabSelected="1" zoomScaleNormal="100" workbookViewId="0">
      <pane xSplit="5" ySplit="2" topLeftCell="AO7" activePane="bottomRight" state="frozen"/>
      <selection pane="topRight" activeCell="G1" sqref="G1"/>
      <selection pane="bottomLeft" activeCell="A3" sqref="A3"/>
      <selection pane="bottomRight" activeCell="O25" sqref="O25:AO25"/>
    </sheetView>
  </sheetViews>
  <sheetFormatPr defaultRowHeight="18" customHeight="1"/>
  <cols>
    <col min="1" max="1" width="4.44140625" style="276" bestFit="1" customWidth="1"/>
    <col min="2" max="2" width="14.33203125" style="276" bestFit="1" customWidth="1"/>
    <col min="3" max="3" width="15" style="276" bestFit="1" customWidth="1"/>
    <col min="4" max="4" width="49.5546875" style="52" customWidth="1"/>
    <col min="5" max="5" width="19.109375" style="52" customWidth="1"/>
    <col min="6" max="6" width="11.6640625" style="276" bestFit="1" customWidth="1"/>
    <col min="7" max="7" width="6" style="276" hidden="1" customWidth="1"/>
    <col min="8" max="11" width="7.33203125" style="276" bestFit="1" customWidth="1"/>
    <col min="12" max="12" width="10.44140625" style="276" bestFit="1" customWidth="1"/>
    <col min="13" max="13" width="9.88671875" style="276" bestFit="1" customWidth="1"/>
    <col min="14" max="15" width="6.44140625" style="276" bestFit="1" customWidth="1"/>
    <col min="16" max="16" width="4.33203125" style="276" bestFit="1" customWidth="1"/>
    <col min="17" max="17" width="4.109375" style="276" customWidth="1"/>
    <col min="18" max="18" width="7.6640625" style="276" bestFit="1" customWidth="1"/>
    <col min="19" max="19" width="4.33203125" style="276" bestFit="1" customWidth="1"/>
    <col min="20" max="20" width="8.33203125" style="276" bestFit="1" customWidth="1"/>
    <col min="21" max="21" width="7.6640625" style="276" bestFit="1" customWidth="1"/>
    <col min="22" max="22" width="9.33203125" style="278" bestFit="1" customWidth="1"/>
    <col min="23" max="23" width="15.33203125" style="276" bestFit="1" customWidth="1"/>
    <col min="24" max="24" width="16" style="276" bestFit="1" customWidth="1"/>
    <col min="25" max="25" width="11" style="65" bestFit="1" customWidth="1"/>
    <col min="26" max="30" width="11" style="65" customWidth="1"/>
    <col min="31" max="31" width="14.33203125" style="276" bestFit="1" customWidth="1"/>
    <col min="32" max="32" width="10.6640625" style="276" bestFit="1" customWidth="1"/>
    <col min="33" max="33" width="11.6640625" style="276" bestFit="1" customWidth="1"/>
    <col min="34" max="34" width="9.5546875" style="276" bestFit="1" customWidth="1"/>
    <col min="35" max="35" width="9.88671875" style="276" bestFit="1" customWidth="1"/>
    <col min="36" max="36" width="14" style="276" bestFit="1" customWidth="1"/>
    <col min="37" max="37" width="8.44140625" style="276" bestFit="1" customWidth="1"/>
    <col min="38" max="38" width="12.44140625" style="276" bestFit="1" customWidth="1"/>
    <col min="39" max="39" width="12.109375" style="276" bestFit="1" customWidth="1"/>
    <col min="41" max="41" width="95.44140625" style="276" bestFit="1" customWidth="1"/>
  </cols>
  <sheetData>
    <row r="1" spans="1:41" ht="18" customHeight="1">
      <c r="A1" s="305" t="s">
        <v>172</v>
      </c>
      <c r="B1" s="306"/>
      <c r="C1" s="306"/>
      <c r="D1" s="307"/>
      <c r="E1" s="222"/>
      <c r="F1" s="94"/>
      <c r="G1" s="7"/>
      <c r="H1" s="41" t="s">
        <v>20</v>
      </c>
      <c r="I1" s="41" t="s">
        <v>21</v>
      </c>
      <c r="J1" s="41" t="s">
        <v>22</v>
      </c>
      <c r="K1" s="41" t="s">
        <v>23</v>
      </c>
      <c r="L1" s="40"/>
      <c r="M1" s="313" t="s">
        <v>24</v>
      </c>
      <c r="N1" s="302"/>
      <c r="O1" s="302"/>
      <c r="P1" s="302"/>
      <c r="Q1" s="302"/>
      <c r="R1" s="302"/>
      <c r="S1" s="302"/>
      <c r="T1" s="302"/>
      <c r="U1" s="302"/>
      <c r="V1" s="314"/>
      <c r="W1" s="308" t="s">
        <v>25</v>
      </c>
      <c r="X1" s="309"/>
      <c r="Y1" s="309"/>
      <c r="Z1" s="309"/>
      <c r="AA1" s="309"/>
      <c r="AB1" s="309"/>
      <c r="AC1" s="309"/>
      <c r="AD1" s="309"/>
      <c r="AE1" s="309"/>
      <c r="AF1" s="309"/>
      <c r="AG1" s="309"/>
      <c r="AH1" s="309"/>
      <c r="AI1" s="301"/>
      <c r="AJ1" s="309"/>
      <c r="AK1" s="309"/>
      <c r="AL1" s="309"/>
      <c r="AM1" s="309"/>
      <c r="AN1" s="309"/>
      <c r="AO1" s="309"/>
    </row>
    <row r="2" spans="1:41" ht="18" customHeight="1">
      <c r="A2" s="78" t="s">
        <v>27</v>
      </c>
      <c r="B2" s="69" t="s">
        <v>28</v>
      </c>
      <c r="C2" s="70" t="s">
        <v>29</v>
      </c>
      <c r="D2" s="86" t="s">
        <v>30</v>
      </c>
      <c r="E2" s="223" t="s">
        <v>173</v>
      </c>
      <c r="F2" s="79" t="s">
        <v>32</v>
      </c>
      <c r="G2" s="84" t="s">
        <v>33</v>
      </c>
      <c r="H2" s="71" t="s">
        <v>34</v>
      </c>
      <c r="I2" s="71" t="s">
        <v>34</v>
      </c>
      <c r="J2" s="71" t="s">
        <v>34</v>
      </c>
      <c r="K2" s="71" t="s">
        <v>34</v>
      </c>
      <c r="L2" s="71" t="s">
        <v>35</v>
      </c>
      <c r="M2" s="67" t="s">
        <v>36</v>
      </c>
      <c r="N2" s="67" t="s">
        <v>37</v>
      </c>
      <c r="O2" s="67" t="s">
        <v>38</v>
      </c>
      <c r="P2" s="67" t="s">
        <v>39</v>
      </c>
      <c r="Q2" s="67" t="s">
        <v>40</v>
      </c>
      <c r="R2" s="67" t="s">
        <v>41</v>
      </c>
      <c r="S2" s="67" t="s">
        <v>42</v>
      </c>
      <c r="T2" s="67" t="s">
        <v>43</v>
      </c>
      <c r="U2" s="67" t="s">
        <v>44</v>
      </c>
      <c r="V2" s="67" t="s">
        <v>45</v>
      </c>
      <c r="W2" s="37" t="str">
        <f>"Optimistic ("&amp;Summary!E7&amp;")"</f>
        <v>Optimistic (50%)</v>
      </c>
      <c r="X2" s="37" t="s">
        <v>46</v>
      </c>
      <c r="Y2" s="72" t="s">
        <v>47</v>
      </c>
      <c r="Z2" s="160" t="s">
        <v>48</v>
      </c>
      <c r="AA2" s="162" t="s">
        <v>49</v>
      </c>
      <c r="AB2" s="162" t="s">
        <v>50</v>
      </c>
      <c r="AC2" s="162" t="s">
        <v>51</v>
      </c>
      <c r="AD2" s="162" t="s">
        <v>52</v>
      </c>
      <c r="AE2" s="194" t="s">
        <v>36</v>
      </c>
      <c r="AF2" s="73" t="s">
        <v>53</v>
      </c>
      <c r="AG2" s="73" t="s">
        <v>54</v>
      </c>
      <c r="AH2" s="73" t="s">
        <v>55</v>
      </c>
      <c r="AI2" s="264" t="s">
        <v>56</v>
      </c>
      <c r="AJ2" s="73" t="s">
        <v>57</v>
      </c>
      <c r="AK2" s="264" t="s">
        <v>58</v>
      </c>
      <c r="AL2" s="194" t="s">
        <v>41</v>
      </c>
      <c r="AM2" s="73" t="s">
        <v>59</v>
      </c>
      <c r="AN2" s="73" t="s">
        <v>60</v>
      </c>
      <c r="AO2" s="194" t="s">
        <v>44</v>
      </c>
    </row>
    <row r="3" spans="1:41" ht="18" customHeight="1">
      <c r="A3" s="80">
        <v>1</v>
      </c>
      <c r="B3" s="315" t="s">
        <v>61</v>
      </c>
      <c r="C3" s="315" t="s">
        <v>174</v>
      </c>
      <c r="D3" s="101" t="s">
        <v>175</v>
      </c>
      <c r="E3" s="224"/>
      <c r="F3" s="81" t="s">
        <v>176</v>
      </c>
      <c r="G3" s="85"/>
      <c r="H3" s="66"/>
      <c r="I3" s="66"/>
      <c r="J3" s="66"/>
      <c r="K3" s="66"/>
      <c r="L3" s="66"/>
      <c r="M3" s="277"/>
      <c r="N3" s="277">
        <v>2</v>
      </c>
      <c r="O3" s="277">
        <v>1</v>
      </c>
      <c r="P3" s="277">
        <v>5</v>
      </c>
      <c r="Q3" s="277">
        <v>0</v>
      </c>
      <c r="R3" s="277"/>
      <c r="S3" s="277">
        <v>0</v>
      </c>
      <c r="T3" s="277"/>
      <c r="U3" s="277">
        <v>2</v>
      </c>
      <c r="V3" s="74">
        <f t="shared" ref="V3:V34" si="0">SUM(M3:U3)</f>
        <v>10</v>
      </c>
      <c r="W3" s="38">
        <f t="shared" ref="W3:W34" si="1">V3 - (V3 * (SUBSTITUTE(SUBSTITUTE($W$2, "Optimistic (", ""), "%)", "") / 100))</f>
        <v>5</v>
      </c>
      <c r="X3" s="38">
        <f t="shared" ref="X3:X34" si="2">V3 + (V3 * (SUBSTITUTE(SUBSTITUTE($X$2, "Pessimistic (", ""), "%)", "") / 100))</f>
        <v>11</v>
      </c>
      <c r="Y3" s="75">
        <f t="shared" ref="Y3:Y34" si="3">(W3+(4*V3)+X3)/6</f>
        <v>9.3333333333333339</v>
      </c>
      <c r="Z3" s="164">
        <f t="shared" ref="Z3:Z34" si="4">Y3/2</f>
        <v>4.666666666666667</v>
      </c>
      <c r="AA3" s="174"/>
      <c r="AB3" s="174"/>
      <c r="AC3" s="174"/>
      <c r="AD3" s="175"/>
      <c r="AE3" s="192">
        <f t="shared" ref="AE3:AE34" si="5">IF($Z3="",0,IF($M3="",0,$M3))</f>
        <v>0</v>
      </c>
      <c r="AF3" s="192">
        <f t="shared" ref="AF3:AF34" si="6">IF(OR($Z3="",$N3=""),0,$Z3*5%)</f>
        <v>0.23333333333333336</v>
      </c>
      <c r="AG3" s="192">
        <f t="shared" ref="AG3:AG34" si="7">IF(OR($Z3="",$O3=""),0,$Z3*10%)</f>
        <v>0.46666666666666673</v>
      </c>
      <c r="AH3" s="192">
        <f t="shared" ref="AH3:AH34" si="8">IF($Z3="",0,IF(AND($P3="",$Q3=""),($Z3-$AE3-$AF3-$AG3-$AI3-$AK3-$AL3-$AM3-$AN3-$AO3),IF($P3="",0,IF($Q3="",($Z3-$AE3-$AF3-$AG3-$AI3-$AK3-$AL3-$AM3-$AN3-$AO3),($Z3-$AE3-$AF3-$AG3-$AI3-$AK3-$AL3-$AM3-$AN3-$AO3)*40%/(40%+15%)))))</f>
        <v>0.38787878787878777</v>
      </c>
      <c r="AI3" s="265">
        <f t="shared" ref="AI3:AI34" si="9">IF($Z3="",0,IF($P3="",0,0.5))</f>
        <v>0.5</v>
      </c>
      <c r="AJ3" s="192">
        <f t="shared" ref="AJ3:AJ34" si="10">IF($Z3="",0,IF(AND($P3="",$Q3=""),0,IF($Q3="",0,IF($P3="",($Z3-$AE3-$AF3-$AG3-$AI3-$AK3-$AL3-$AM3-$AN3-$AO3),($Z3-$AE3-$AF3-$AG3-$AI3-$AK3-$AL3-$AM3-$AN3-$AO3)*15%/(40%+15%)))))</f>
        <v>0.14545454545454539</v>
      </c>
      <c r="AK3" s="265">
        <f t="shared" ref="AK3:AK34" si="11">IF($Z3="",0,$Z3*15%)</f>
        <v>0.70000000000000007</v>
      </c>
      <c r="AL3" s="192">
        <f t="shared" ref="AL3:AL34" si="12">IF($Z3="",0,IF($R3="",0,$R3))</f>
        <v>0</v>
      </c>
      <c r="AM3" s="192">
        <f t="shared" ref="AM3:AM34" si="13">IF(OR($Z3="",$S3=""),0,$Z3*5%)</f>
        <v>0.23333333333333336</v>
      </c>
      <c r="AN3" s="192">
        <f t="shared" ref="AN3:AN34" si="14">IF(OR($Z3="",$T3=""),0,$Z3*10%)</f>
        <v>0</v>
      </c>
      <c r="AO3" s="192">
        <f t="shared" ref="AO3:AO34" si="15">IF($Z3="",0,IF($U3="",0,$U3))</f>
        <v>2</v>
      </c>
    </row>
    <row r="4" spans="1:41" ht="18" customHeight="1">
      <c r="A4" s="80">
        <f>IF(D4="","",A3+1)</f>
        <v>2</v>
      </c>
      <c r="B4" s="311"/>
      <c r="C4" s="311"/>
      <c r="D4" s="101" t="s">
        <v>177</v>
      </c>
      <c r="E4" s="224"/>
      <c r="F4" s="81" t="s">
        <v>176</v>
      </c>
      <c r="G4" s="85"/>
      <c r="H4" s="66"/>
      <c r="I4" s="66"/>
      <c r="J4" s="66"/>
      <c r="K4" s="66"/>
      <c r="L4" s="66"/>
      <c r="M4" s="277"/>
      <c r="N4" s="277"/>
      <c r="O4" s="277">
        <v>5</v>
      </c>
      <c r="P4" s="277">
        <v>48</v>
      </c>
      <c r="Q4" s="277">
        <v>15</v>
      </c>
      <c r="R4" s="277"/>
      <c r="S4" s="277"/>
      <c r="T4" s="277"/>
      <c r="U4" s="277">
        <v>2</v>
      </c>
      <c r="V4" s="74">
        <f t="shared" si="0"/>
        <v>70</v>
      </c>
      <c r="W4" s="38">
        <f t="shared" si="1"/>
        <v>35</v>
      </c>
      <c r="X4" s="38">
        <f t="shared" si="2"/>
        <v>77</v>
      </c>
      <c r="Y4" s="75">
        <f t="shared" si="3"/>
        <v>65.333333333333329</v>
      </c>
      <c r="Z4" s="164">
        <f t="shared" si="4"/>
        <v>32.666666666666664</v>
      </c>
      <c r="AA4" s="174"/>
      <c r="AB4" s="174"/>
      <c r="AC4" s="174"/>
      <c r="AD4" s="175"/>
      <c r="AE4" s="192">
        <f t="shared" si="5"/>
        <v>0</v>
      </c>
      <c r="AF4" s="192">
        <f t="shared" si="6"/>
        <v>0</v>
      </c>
      <c r="AG4" s="192">
        <f t="shared" si="7"/>
        <v>3.2666666666666666</v>
      </c>
      <c r="AH4" s="192">
        <f t="shared" si="8"/>
        <v>16</v>
      </c>
      <c r="AI4" s="265">
        <f t="shared" si="9"/>
        <v>0.5</v>
      </c>
      <c r="AJ4" s="192">
        <f t="shared" si="10"/>
        <v>5.9999999999999991</v>
      </c>
      <c r="AK4" s="265">
        <f t="shared" si="11"/>
        <v>4.8999999999999995</v>
      </c>
      <c r="AL4" s="192">
        <f t="shared" si="12"/>
        <v>0</v>
      </c>
      <c r="AM4" s="192">
        <f t="shared" si="13"/>
        <v>0</v>
      </c>
      <c r="AN4" s="192">
        <f t="shared" si="14"/>
        <v>0</v>
      </c>
      <c r="AO4" s="192">
        <f t="shared" si="15"/>
        <v>2</v>
      </c>
    </row>
    <row r="5" spans="1:41" ht="18" hidden="1" customHeight="1">
      <c r="A5" s="80"/>
      <c r="B5" s="312"/>
      <c r="C5" s="312"/>
      <c r="D5" s="101" t="s">
        <v>178</v>
      </c>
      <c r="E5" s="224"/>
      <c r="F5" s="81" t="s">
        <v>65</v>
      </c>
      <c r="G5" s="85"/>
      <c r="H5" s="66"/>
      <c r="I5" s="66"/>
      <c r="J5" s="66"/>
      <c r="K5" s="66"/>
      <c r="L5" s="66"/>
      <c r="M5" s="277"/>
      <c r="N5" s="277">
        <v>0</v>
      </c>
      <c r="O5" s="277">
        <v>0</v>
      </c>
      <c r="P5" s="277">
        <v>23</v>
      </c>
      <c r="Q5" s="277">
        <v>15</v>
      </c>
      <c r="R5" s="277"/>
      <c r="S5" s="277">
        <v>5</v>
      </c>
      <c r="T5" s="277">
        <v>15</v>
      </c>
      <c r="U5" s="277">
        <v>2</v>
      </c>
      <c r="V5" s="74">
        <f t="shared" si="0"/>
        <v>60</v>
      </c>
      <c r="W5" s="38">
        <f t="shared" si="1"/>
        <v>30</v>
      </c>
      <c r="X5" s="38">
        <f t="shared" si="2"/>
        <v>66</v>
      </c>
      <c r="Y5" s="75">
        <f t="shared" si="3"/>
        <v>56</v>
      </c>
      <c r="Z5" s="164">
        <f t="shared" si="4"/>
        <v>28</v>
      </c>
      <c r="AA5" s="173">
        <v>46111</v>
      </c>
      <c r="AB5" s="173">
        <v>46126</v>
      </c>
      <c r="AC5" s="173">
        <v>46127</v>
      </c>
      <c r="AD5" s="173">
        <v>46148</v>
      </c>
      <c r="AE5" s="192">
        <f t="shared" si="5"/>
        <v>0</v>
      </c>
      <c r="AF5" s="192">
        <f t="shared" si="6"/>
        <v>1.4000000000000001</v>
      </c>
      <c r="AG5" s="192">
        <f t="shared" si="7"/>
        <v>2.8000000000000003</v>
      </c>
      <c r="AH5" s="192">
        <f t="shared" si="8"/>
        <v>9.3818181818181827</v>
      </c>
      <c r="AI5" s="265">
        <f t="shared" si="9"/>
        <v>0.5</v>
      </c>
      <c r="AJ5" s="192">
        <f t="shared" si="10"/>
        <v>3.5181818181818185</v>
      </c>
      <c r="AK5" s="265">
        <f t="shared" si="11"/>
        <v>4.2</v>
      </c>
      <c r="AL5" s="192">
        <f t="shared" si="12"/>
        <v>0</v>
      </c>
      <c r="AM5" s="192">
        <f t="shared" si="13"/>
        <v>1.4000000000000001</v>
      </c>
      <c r="AN5" s="192">
        <f t="shared" si="14"/>
        <v>2.8000000000000003</v>
      </c>
      <c r="AO5" s="192">
        <f t="shared" si="15"/>
        <v>2</v>
      </c>
    </row>
    <row r="6" spans="1:41" ht="18" customHeight="1">
      <c r="A6" s="80">
        <f>IF(D6="","",A4+1)</f>
        <v>3</v>
      </c>
      <c r="B6" s="315" t="s">
        <v>85</v>
      </c>
      <c r="C6" s="315" t="s">
        <v>179</v>
      </c>
      <c r="D6" s="102" t="s">
        <v>180</v>
      </c>
      <c r="E6" s="225"/>
      <c r="F6" s="81" t="s">
        <v>176</v>
      </c>
      <c r="G6" s="85"/>
      <c r="H6" s="66"/>
      <c r="I6" s="66"/>
      <c r="J6" s="66"/>
      <c r="K6" s="66"/>
      <c r="L6" s="66"/>
      <c r="M6" s="277"/>
      <c r="N6" s="277"/>
      <c r="O6" s="277">
        <v>15</v>
      </c>
      <c r="P6" s="277">
        <v>32</v>
      </c>
      <c r="Q6" s="277">
        <v>7</v>
      </c>
      <c r="R6" s="277"/>
      <c r="S6" s="277">
        <v>4</v>
      </c>
      <c r="T6" s="277">
        <v>6</v>
      </c>
      <c r="U6" s="277">
        <v>2</v>
      </c>
      <c r="V6" s="74">
        <f t="shared" si="0"/>
        <v>66</v>
      </c>
      <c r="W6" s="38">
        <f t="shared" si="1"/>
        <v>33</v>
      </c>
      <c r="X6" s="38">
        <f t="shared" si="2"/>
        <v>72.599999999999994</v>
      </c>
      <c r="Y6" s="75">
        <f t="shared" si="3"/>
        <v>61.6</v>
      </c>
      <c r="Z6" s="164">
        <f t="shared" si="4"/>
        <v>30.8</v>
      </c>
      <c r="AA6" s="174"/>
      <c r="AB6" s="174"/>
      <c r="AC6" s="174"/>
      <c r="AD6" s="175"/>
      <c r="AE6" s="192">
        <f t="shared" si="5"/>
        <v>0</v>
      </c>
      <c r="AF6" s="192">
        <f t="shared" si="6"/>
        <v>0</v>
      </c>
      <c r="AG6" s="192">
        <f t="shared" si="7"/>
        <v>3.08</v>
      </c>
      <c r="AH6" s="192">
        <f t="shared" si="8"/>
        <v>11.621818181818179</v>
      </c>
      <c r="AI6" s="265">
        <f t="shared" si="9"/>
        <v>0.5</v>
      </c>
      <c r="AJ6" s="192">
        <f t="shared" si="10"/>
        <v>4.3581818181818166</v>
      </c>
      <c r="AK6" s="265">
        <f t="shared" si="11"/>
        <v>4.62</v>
      </c>
      <c r="AL6" s="192">
        <f t="shared" si="12"/>
        <v>0</v>
      </c>
      <c r="AM6" s="192">
        <f t="shared" si="13"/>
        <v>1.54</v>
      </c>
      <c r="AN6" s="192">
        <f t="shared" si="14"/>
        <v>3.08</v>
      </c>
      <c r="AO6" s="192">
        <f t="shared" si="15"/>
        <v>2</v>
      </c>
    </row>
    <row r="7" spans="1:41" ht="18" customHeight="1">
      <c r="A7" s="80">
        <f t="shared" ref="A7:A38" si="16">IF(D7="","",A6+1)</f>
        <v>4</v>
      </c>
      <c r="B7" s="311"/>
      <c r="C7" s="311"/>
      <c r="D7" s="90" t="s">
        <v>181</v>
      </c>
      <c r="E7" s="226"/>
      <c r="F7" s="81" t="s">
        <v>176</v>
      </c>
      <c r="G7" s="85"/>
      <c r="H7" s="66"/>
      <c r="I7" s="66"/>
      <c r="J7" s="66"/>
      <c r="K7" s="66"/>
      <c r="L7" s="66"/>
      <c r="M7" s="277"/>
      <c r="N7" s="277"/>
      <c r="O7" s="277">
        <v>3</v>
      </c>
      <c r="P7" s="277">
        <v>5</v>
      </c>
      <c r="Q7" s="277">
        <v>3</v>
      </c>
      <c r="R7" s="277"/>
      <c r="S7" s="277">
        <v>1</v>
      </c>
      <c r="T7" s="277">
        <v>5</v>
      </c>
      <c r="U7" s="277">
        <v>2</v>
      </c>
      <c r="V7" s="74">
        <f t="shared" si="0"/>
        <v>19</v>
      </c>
      <c r="W7" s="38">
        <f t="shared" si="1"/>
        <v>9.5</v>
      </c>
      <c r="X7" s="38">
        <f t="shared" si="2"/>
        <v>20.9</v>
      </c>
      <c r="Y7" s="75">
        <f t="shared" si="3"/>
        <v>17.733333333333334</v>
      </c>
      <c r="Z7" s="164">
        <f t="shared" si="4"/>
        <v>8.8666666666666671</v>
      </c>
      <c r="AA7" s="174"/>
      <c r="AB7" s="174"/>
      <c r="AC7" s="174"/>
      <c r="AD7" s="175"/>
      <c r="AE7" s="192">
        <f t="shared" si="5"/>
        <v>0</v>
      </c>
      <c r="AF7" s="192">
        <f t="shared" si="6"/>
        <v>0</v>
      </c>
      <c r="AG7" s="192">
        <f t="shared" si="7"/>
        <v>0.88666666666666671</v>
      </c>
      <c r="AH7" s="192">
        <f t="shared" si="8"/>
        <v>2.0509090909090908</v>
      </c>
      <c r="AI7" s="265">
        <f t="shared" si="9"/>
        <v>0.5</v>
      </c>
      <c r="AJ7" s="192">
        <f t="shared" si="10"/>
        <v>0.76909090909090916</v>
      </c>
      <c r="AK7" s="265">
        <f t="shared" si="11"/>
        <v>1.33</v>
      </c>
      <c r="AL7" s="192">
        <f t="shared" si="12"/>
        <v>0</v>
      </c>
      <c r="AM7" s="192">
        <f t="shared" si="13"/>
        <v>0.44333333333333336</v>
      </c>
      <c r="AN7" s="192">
        <f t="shared" si="14"/>
        <v>0.88666666666666671</v>
      </c>
      <c r="AO7" s="192">
        <f t="shared" si="15"/>
        <v>2</v>
      </c>
    </row>
    <row r="8" spans="1:41" ht="18" customHeight="1">
      <c r="A8" s="80">
        <f t="shared" si="16"/>
        <v>5</v>
      </c>
      <c r="B8" s="311"/>
      <c r="C8" s="311"/>
      <c r="D8" s="90" t="s">
        <v>182</v>
      </c>
      <c r="E8" s="226"/>
      <c r="F8" s="81" t="s">
        <v>176</v>
      </c>
      <c r="G8" s="85"/>
      <c r="H8" s="66"/>
      <c r="I8" s="66"/>
      <c r="J8" s="66"/>
      <c r="K8" s="66"/>
      <c r="L8" s="66"/>
      <c r="M8" s="277"/>
      <c r="N8" s="277"/>
      <c r="O8" s="277">
        <v>3</v>
      </c>
      <c r="P8" s="277">
        <v>5</v>
      </c>
      <c r="Q8" s="277">
        <v>3</v>
      </c>
      <c r="R8" s="277"/>
      <c r="S8" s="277">
        <v>1</v>
      </c>
      <c r="T8" s="277">
        <v>5</v>
      </c>
      <c r="U8" s="277">
        <v>2</v>
      </c>
      <c r="V8" s="74">
        <f t="shared" si="0"/>
        <v>19</v>
      </c>
      <c r="W8" s="38">
        <f t="shared" si="1"/>
        <v>9.5</v>
      </c>
      <c r="X8" s="38">
        <f t="shared" si="2"/>
        <v>20.9</v>
      </c>
      <c r="Y8" s="75">
        <f t="shared" si="3"/>
        <v>17.733333333333334</v>
      </c>
      <c r="Z8" s="164">
        <f t="shared" si="4"/>
        <v>8.8666666666666671</v>
      </c>
      <c r="AA8" s="174"/>
      <c r="AB8" s="174"/>
      <c r="AC8" s="174"/>
      <c r="AD8" s="175"/>
      <c r="AE8" s="192">
        <f t="shared" si="5"/>
        <v>0</v>
      </c>
      <c r="AF8" s="192">
        <f t="shared" si="6"/>
        <v>0</v>
      </c>
      <c r="AG8" s="192">
        <f t="shared" si="7"/>
        <v>0.88666666666666671</v>
      </c>
      <c r="AH8" s="192">
        <f t="shared" si="8"/>
        <v>2.0509090909090908</v>
      </c>
      <c r="AI8" s="265">
        <f t="shared" si="9"/>
        <v>0.5</v>
      </c>
      <c r="AJ8" s="192">
        <f t="shared" si="10"/>
        <v>0.76909090909090916</v>
      </c>
      <c r="AK8" s="265">
        <f t="shared" si="11"/>
        <v>1.33</v>
      </c>
      <c r="AL8" s="192">
        <f t="shared" si="12"/>
        <v>0</v>
      </c>
      <c r="AM8" s="192">
        <f t="shared" si="13"/>
        <v>0.44333333333333336</v>
      </c>
      <c r="AN8" s="192">
        <f t="shared" si="14"/>
        <v>0.88666666666666671</v>
      </c>
      <c r="AO8" s="192">
        <f t="shared" si="15"/>
        <v>2</v>
      </c>
    </row>
    <row r="9" spans="1:41" ht="18" customHeight="1">
      <c r="A9" s="80">
        <f t="shared" si="16"/>
        <v>6</v>
      </c>
      <c r="B9" s="311"/>
      <c r="C9" s="311"/>
      <c r="D9" s="90" t="s">
        <v>183</v>
      </c>
      <c r="E9" s="226"/>
      <c r="F9" s="81" t="s">
        <v>176</v>
      </c>
      <c r="G9" s="85"/>
      <c r="H9" s="66"/>
      <c r="I9" s="66"/>
      <c r="J9" s="66"/>
      <c r="K9" s="66"/>
      <c r="L9" s="66"/>
      <c r="M9" s="277"/>
      <c r="N9" s="277"/>
      <c r="O9" s="277">
        <v>3</v>
      </c>
      <c r="P9" s="277">
        <v>5</v>
      </c>
      <c r="Q9" s="277">
        <v>3</v>
      </c>
      <c r="R9" s="277"/>
      <c r="S9" s="277">
        <v>1</v>
      </c>
      <c r="T9" s="277">
        <v>5</v>
      </c>
      <c r="U9" s="277">
        <v>2</v>
      </c>
      <c r="V9" s="74">
        <f t="shared" si="0"/>
        <v>19</v>
      </c>
      <c r="W9" s="38">
        <f t="shared" si="1"/>
        <v>9.5</v>
      </c>
      <c r="X9" s="38">
        <f t="shared" si="2"/>
        <v>20.9</v>
      </c>
      <c r="Y9" s="75">
        <f t="shared" si="3"/>
        <v>17.733333333333334</v>
      </c>
      <c r="Z9" s="164">
        <f t="shared" si="4"/>
        <v>8.8666666666666671</v>
      </c>
      <c r="AA9" s="174"/>
      <c r="AB9" s="174"/>
      <c r="AC9" s="174"/>
      <c r="AD9" s="175"/>
      <c r="AE9" s="192">
        <f t="shared" si="5"/>
        <v>0</v>
      </c>
      <c r="AF9" s="192">
        <f t="shared" si="6"/>
        <v>0</v>
      </c>
      <c r="AG9" s="192">
        <f t="shared" si="7"/>
        <v>0.88666666666666671</v>
      </c>
      <c r="AH9" s="192">
        <f t="shared" si="8"/>
        <v>2.0509090909090908</v>
      </c>
      <c r="AI9" s="265">
        <f t="shared" si="9"/>
        <v>0.5</v>
      </c>
      <c r="AJ9" s="192">
        <f t="shared" si="10"/>
        <v>0.76909090909090916</v>
      </c>
      <c r="AK9" s="265">
        <f t="shared" si="11"/>
        <v>1.33</v>
      </c>
      <c r="AL9" s="192">
        <f t="shared" si="12"/>
        <v>0</v>
      </c>
      <c r="AM9" s="192">
        <f t="shared" si="13"/>
        <v>0.44333333333333336</v>
      </c>
      <c r="AN9" s="192">
        <f t="shared" si="14"/>
        <v>0.88666666666666671</v>
      </c>
      <c r="AO9" s="192">
        <f t="shared" si="15"/>
        <v>2</v>
      </c>
    </row>
    <row r="10" spans="1:41" ht="18" customHeight="1">
      <c r="A10" s="80">
        <f t="shared" si="16"/>
        <v>7</v>
      </c>
      <c r="B10" s="311"/>
      <c r="C10" s="311"/>
      <c r="D10" s="90" t="s">
        <v>184</v>
      </c>
      <c r="E10" s="226"/>
      <c r="F10" s="81" t="s">
        <v>176</v>
      </c>
      <c r="G10" s="85"/>
      <c r="H10" s="66"/>
      <c r="I10" s="66"/>
      <c r="J10" s="66"/>
      <c r="K10" s="66"/>
      <c r="L10" s="66"/>
      <c r="M10" s="277"/>
      <c r="N10" s="277"/>
      <c r="O10" s="277">
        <v>3</v>
      </c>
      <c r="P10" s="277">
        <v>5</v>
      </c>
      <c r="Q10" s="277">
        <v>3</v>
      </c>
      <c r="R10" s="277"/>
      <c r="S10" s="277">
        <v>1</v>
      </c>
      <c r="T10" s="277">
        <v>5</v>
      </c>
      <c r="U10" s="277">
        <v>2</v>
      </c>
      <c r="V10" s="74">
        <f t="shared" si="0"/>
        <v>19</v>
      </c>
      <c r="W10" s="38">
        <f t="shared" si="1"/>
        <v>9.5</v>
      </c>
      <c r="X10" s="38">
        <f t="shared" si="2"/>
        <v>20.9</v>
      </c>
      <c r="Y10" s="75">
        <f t="shared" si="3"/>
        <v>17.733333333333334</v>
      </c>
      <c r="Z10" s="164">
        <f t="shared" si="4"/>
        <v>8.8666666666666671</v>
      </c>
      <c r="AA10" s="174"/>
      <c r="AB10" s="174"/>
      <c r="AC10" s="174"/>
      <c r="AD10" s="175"/>
      <c r="AE10" s="192">
        <f t="shared" si="5"/>
        <v>0</v>
      </c>
      <c r="AF10" s="192">
        <f t="shared" si="6"/>
        <v>0</v>
      </c>
      <c r="AG10" s="192">
        <f t="shared" si="7"/>
        <v>0.88666666666666671</v>
      </c>
      <c r="AH10" s="192">
        <f t="shared" si="8"/>
        <v>2.0509090909090908</v>
      </c>
      <c r="AI10" s="265">
        <f t="shared" si="9"/>
        <v>0.5</v>
      </c>
      <c r="AJ10" s="192">
        <f t="shared" si="10"/>
        <v>0.76909090909090916</v>
      </c>
      <c r="AK10" s="265">
        <f t="shared" si="11"/>
        <v>1.33</v>
      </c>
      <c r="AL10" s="192">
        <f t="shared" si="12"/>
        <v>0</v>
      </c>
      <c r="AM10" s="192">
        <f t="shared" si="13"/>
        <v>0.44333333333333336</v>
      </c>
      <c r="AN10" s="192">
        <f t="shared" si="14"/>
        <v>0.88666666666666671</v>
      </c>
      <c r="AO10" s="192">
        <f t="shared" si="15"/>
        <v>2</v>
      </c>
    </row>
    <row r="11" spans="1:41" ht="18" customHeight="1">
      <c r="A11" s="80">
        <f t="shared" si="16"/>
        <v>8</v>
      </c>
      <c r="B11" s="311"/>
      <c r="C11" s="311"/>
      <c r="D11" s="90" t="s">
        <v>185</v>
      </c>
      <c r="E11" s="226"/>
      <c r="F11" s="81" t="s">
        <v>176</v>
      </c>
      <c r="G11" s="85"/>
      <c r="H11" s="66"/>
      <c r="I11" s="66"/>
      <c r="J11" s="66"/>
      <c r="K11" s="66"/>
      <c r="L11" s="66"/>
      <c r="M11" s="277"/>
      <c r="N11" s="277"/>
      <c r="O11" s="277">
        <v>3</v>
      </c>
      <c r="P11" s="277">
        <v>5</v>
      </c>
      <c r="Q11" s="277">
        <v>3</v>
      </c>
      <c r="R11" s="277"/>
      <c r="S11" s="277">
        <v>1</v>
      </c>
      <c r="T11" s="277">
        <v>5</v>
      </c>
      <c r="U11" s="277">
        <v>2</v>
      </c>
      <c r="V11" s="74">
        <f t="shared" si="0"/>
        <v>19</v>
      </c>
      <c r="W11" s="38">
        <f t="shared" si="1"/>
        <v>9.5</v>
      </c>
      <c r="X11" s="38">
        <f t="shared" si="2"/>
        <v>20.9</v>
      </c>
      <c r="Y11" s="75">
        <f t="shared" si="3"/>
        <v>17.733333333333334</v>
      </c>
      <c r="Z11" s="164">
        <f t="shared" si="4"/>
        <v>8.8666666666666671</v>
      </c>
      <c r="AA11" s="174"/>
      <c r="AB11" s="174"/>
      <c r="AC11" s="174"/>
      <c r="AD11" s="175"/>
      <c r="AE11" s="192">
        <f t="shared" si="5"/>
        <v>0</v>
      </c>
      <c r="AF11" s="192">
        <f t="shared" si="6"/>
        <v>0</v>
      </c>
      <c r="AG11" s="192">
        <f t="shared" si="7"/>
        <v>0.88666666666666671</v>
      </c>
      <c r="AH11" s="192">
        <f t="shared" si="8"/>
        <v>2.0509090909090908</v>
      </c>
      <c r="AI11" s="265">
        <f t="shared" si="9"/>
        <v>0.5</v>
      </c>
      <c r="AJ11" s="192">
        <f t="shared" si="10"/>
        <v>0.76909090909090916</v>
      </c>
      <c r="AK11" s="265">
        <f t="shared" si="11"/>
        <v>1.33</v>
      </c>
      <c r="AL11" s="192">
        <f t="shared" si="12"/>
        <v>0</v>
      </c>
      <c r="AM11" s="192">
        <f t="shared" si="13"/>
        <v>0.44333333333333336</v>
      </c>
      <c r="AN11" s="192">
        <f t="shared" si="14"/>
        <v>0.88666666666666671</v>
      </c>
      <c r="AO11" s="192">
        <f t="shared" si="15"/>
        <v>2</v>
      </c>
    </row>
    <row r="12" spans="1:41" ht="18" customHeight="1">
      <c r="A12" s="80">
        <f t="shared" si="16"/>
        <v>9</v>
      </c>
      <c r="B12" s="311"/>
      <c r="C12" s="311"/>
      <c r="D12" s="90" t="s">
        <v>186</v>
      </c>
      <c r="E12" s="226"/>
      <c r="F12" s="81" t="s">
        <v>176</v>
      </c>
      <c r="G12" s="85"/>
      <c r="H12" s="66"/>
      <c r="I12" s="66"/>
      <c r="J12" s="66"/>
      <c r="K12" s="66"/>
      <c r="L12" s="66"/>
      <c r="M12" s="277"/>
      <c r="N12" s="277"/>
      <c r="O12" s="277">
        <v>3</v>
      </c>
      <c r="P12" s="277">
        <v>5</v>
      </c>
      <c r="Q12" s="277">
        <v>3</v>
      </c>
      <c r="R12" s="277"/>
      <c r="S12" s="277">
        <v>1</v>
      </c>
      <c r="T12" s="277">
        <v>5</v>
      </c>
      <c r="U12" s="277">
        <v>2</v>
      </c>
      <c r="V12" s="74">
        <f t="shared" si="0"/>
        <v>19</v>
      </c>
      <c r="W12" s="38">
        <f t="shared" si="1"/>
        <v>9.5</v>
      </c>
      <c r="X12" s="38">
        <f t="shared" si="2"/>
        <v>20.9</v>
      </c>
      <c r="Y12" s="75">
        <f t="shared" si="3"/>
        <v>17.733333333333334</v>
      </c>
      <c r="Z12" s="164">
        <f t="shared" si="4"/>
        <v>8.8666666666666671</v>
      </c>
      <c r="AA12" s="174"/>
      <c r="AB12" s="174"/>
      <c r="AC12" s="174"/>
      <c r="AD12" s="175"/>
      <c r="AE12" s="192">
        <f t="shared" si="5"/>
        <v>0</v>
      </c>
      <c r="AF12" s="192">
        <f t="shared" si="6"/>
        <v>0</v>
      </c>
      <c r="AG12" s="192">
        <f t="shared" si="7"/>
        <v>0.88666666666666671</v>
      </c>
      <c r="AH12" s="192">
        <f t="shared" si="8"/>
        <v>2.0509090909090908</v>
      </c>
      <c r="AI12" s="265">
        <f t="shared" si="9"/>
        <v>0.5</v>
      </c>
      <c r="AJ12" s="192">
        <f t="shared" si="10"/>
        <v>0.76909090909090916</v>
      </c>
      <c r="AK12" s="265">
        <f t="shared" si="11"/>
        <v>1.33</v>
      </c>
      <c r="AL12" s="192">
        <f t="shared" si="12"/>
        <v>0</v>
      </c>
      <c r="AM12" s="192">
        <f t="shared" si="13"/>
        <v>0.44333333333333336</v>
      </c>
      <c r="AN12" s="192">
        <f t="shared" si="14"/>
        <v>0.88666666666666671</v>
      </c>
      <c r="AO12" s="192">
        <f t="shared" si="15"/>
        <v>2</v>
      </c>
    </row>
    <row r="13" spans="1:41" ht="18" customHeight="1">
      <c r="A13" s="80">
        <f t="shared" si="16"/>
        <v>10</v>
      </c>
      <c r="B13" s="311"/>
      <c r="C13" s="311"/>
      <c r="D13" s="90" t="s">
        <v>187</v>
      </c>
      <c r="E13" s="226"/>
      <c r="F13" s="81" t="s">
        <v>176</v>
      </c>
      <c r="G13" s="85"/>
      <c r="H13" s="66"/>
      <c r="I13" s="66"/>
      <c r="J13" s="66"/>
      <c r="K13" s="66"/>
      <c r="L13" s="66"/>
      <c r="M13" s="277"/>
      <c r="N13" s="277"/>
      <c r="O13" s="277">
        <v>3</v>
      </c>
      <c r="P13" s="277">
        <v>5</v>
      </c>
      <c r="Q13" s="277">
        <v>3</v>
      </c>
      <c r="R13" s="277"/>
      <c r="S13" s="277">
        <v>1</v>
      </c>
      <c r="T13" s="277">
        <v>5</v>
      </c>
      <c r="U13" s="277">
        <v>2</v>
      </c>
      <c r="V13" s="74">
        <f t="shared" si="0"/>
        <v>19</v>
      </c>
      <c r="W13" s="38">
        <f t="shared" si="1"/>
        <v>9.5</v>
      </c>
      <c r="X13" s="38">
        <f t="shared" si="2"/>
        <v>20.9</v>
      </c>
      <c r="Y13" s="75">
        <f t="shared" si="3"/>
        <v>17.733333333333334</v>
      </c>
      <c r="Z13" s="164">
        <f t="shared" si="4"/>
        <v>8.8666666666666671</v>
      </c>
      <c r="AA13" s="174"/>
      <c r="AB13" s="174"/>
      <c r="AC13" s="174"/>
      <c r="AD13" s="175"/>
      <c r="AE13" s="192">
        <f t="shared" si="5"/>
        <v>0</v>
      </c>
      <c r="AF13" s="192">
        <f t="shared" si="6"/>
        <v>0</v>
      </c>
      <c r="AG13" s="192">
        <f t="shared" si="7"/>
        <v>0.88666666666666671</v>
      </c>
      <c r="AH13" s="192">
        <f t="shared" si="8"/>
        <v>2.0509090909090908</v>
      </c>
      <c r="AI13" s="265">
        <f t="shared" si="9"/>
        <v>0.5</v>
      </c>
      <c r="AJ13" s="192">
        <f t="shared" si="10"/>
        <v>0.76909090909090916</v>
      </c>
      <c r="AK13" s="265">
        <f t="shared" si="11"/>
        <v>1.33</v>
      </c>
      <c r="AL13" s="192">
        <f t="shared" si="12"/>
        <v>0</v>
      </c>
      <c r="AM13" s="192">
        <f t="shared" si="13"/>
        <v>0.44333333333333336</v>
      </c>
      <c r="AN13" s="192">
        <f t="shared" si="14"/>
        <v>0.88666666666666671</v>
      </c>
      <c r="AO13" s="192">
        <f t="shared" si="15"/>
        <v>2</v>
      </c>
    </row>
    <row r="14" spans="1:41" ht="18" customHeight="1">
      <c r="A14" s="80">
        <f t="shared" si="16"/>
        <v>11</v>
      </c>
      <c r="B14" s="311"/>
      <c r="C14" s="311"/>
      <c r="D14" s="90" t="s">
        <v>188</v>
      </c>
      <c r="E14" s="226"/>
      <c r="F14" s="81" t="s">
        <v>176</v>
      </c>
      <c r="G14" s="85"/>
      <c r="H14" s="66"/>
      <c r="I14" s="66"/>
      <c r="J14" s="66"/>
      <c r="K14" s="66"/>
      <c r="L14" s="66"/>
      <c r="M14" s="277"/>
      <c r="N14" s="277"/>
      <c r="O14" s="277">
        <v>3</v>
      </c>
      <c r="P14" s="277">
        <v>5</v>
      </c>
      <c r="Q14" s="277">
        <v>3</v>
      </c>
      <c r="R14" s="277"/>
      <c r="S14" s="277">
        <v>1</v>
      </c>
      <c r="T14" s="277">
        <v>5</v>
      </c>
      <c r="U14" s="277">
        <v>2</v>
      </c>
      <c r="V14" s="74">
        <f t="shared" si="0"/>
        <v>19</v>
      </c>
      <c r="W14" s="38">
        <f t="shared" si="1"/>
        <v>9.5</v>
      </c>
      <c r="X14" s="38">
        <f t="shared" si="2"/>
        <v>20.9</v>
      </c>
      <c r="Y14" s="75">
        <f t="shared" si="3"/>
        <v>17.733333333333334</v>
      </c>
      <c r="Z14" s="164">
        <f t="shared" si="4"/>
        <v>8.8666666666666671</v>
      </c>
      <c r="AA14" s="174"/>
      <c r="AB14" s="174"/>
      <c r="AC14" s="174"/>
      <c r="AD14" s="175"/>
      <c r="AE14" s="192">
        <f t="shared" si="5"/>
        <v>0</v>
      </c>
      <c r="AF14" s="192">
        <f t="shared" si="6"/>
        <v>0</v>
      </c>
      <c r="AG14" s="192">
        <f t="shared" si="7"/>
        <v>0.88666666666666671</v>
      </c>
      <c r="AH14" s="192">
        <f t="shared" si="8"/>
        <v>2.0509090909090908</v>
      </c>
      <c r="AI14" s="265">
        <f t="shared" si="9"/>
        <v>0.5</v>
      </c>
      <c r="AJ14" s="192">
        <f t="shared" si="10"/>
        <v>0.76909090909090916</v>
      </c>
      <c r="AK14" s="265">
        <f t="shared" si="11"/>
        <v>1.33</v>
      </c>
      <c r="AL14" s="192">
        <f t="shared" si="12"/>
        <v>0</v>
      </c>
      <c r="AM14" s="192">
        <f t="shared" si="13"/>
        <v>0.44333333333333336</v>
      </c>
      <c r="AN14" s="192">
        <f t="shared" si="14"/>
        <v>0.88666666666666671</v>
      </c>
      <c r="AO14" s="192">
        <f t="shared" si="15"/>
        <v>2</v>
      </c>
    </row>
    <row r="15" spans="1:41" ht="18" customHeight="1">
      <c r="A15" s="80">
        <f t="shared" si="16"/>
        <v>12</v>
      </c>
      <c r="B15" s="311"/>
      <c r="C15" s="311"/>
      <c r="D15" s="90" t="s">
        <v>189</v>
      </c>
      <c r="E15" s="226"/>
      <c r="F15" s="81" t="s">
        <v>176</v>
      </c>
      <c r="G15" s="85"/>
      <c r="H15" s="66"/>
      <c r="I15" s="66"/>
      <c r="J15" s="66"/>
      <c r="K15" s="66"/>
      <c r="L15" s="66"/>
      <c r="M15" s="277"/>
      <c r="N15" s="277"/>
      <c r="O15" s="277">
        <v>3</v>
      </c>
      <c r="P15" s="277">
        <v>5</v>
      </c>
      <c r="Q15" s="277">
        <v>3</v>
      </c>
      <c r="R15" s="277"/>
      <c r="S15" s="277">
        <v>1</v>
      </c>
      <c r="T15" s="277">
        <v>5</v>
      </c>
      <c r="U15" s="277">
        <v>2</v>
      </c>
      <c r="V15" s="74">
        <f t="shared" si="0"/>
        <v>19</v>
      </c>
      <c r="W15" s="38">
        <f t="shared" si="1"/>
        <v>9.5</v>
      </c>
      <c r="X15" s="38">
        <f t="shared" si="2"/>
        <v>20.9</v>
      </c>
      <c r="Y15" s="75">
        <f t="shared" si="3"/>
        <v>17.733333333333334</v>
      </c>
      <c r="Z15" s="164">
        <f t="shared" si="4"/>
        <v>8.8666666666666671</v>
      </c>
      <c r="AA15" s="174"/>
      <c r="AB15" s="174"/>
      <c r="AC15" s="174"/>
      <c r="AD15" s="175"/>
      <c r="AE15" s="192">
        <f t="shared" si="5"/>
        <v>0</v>
      </c>
      <c r="AF15" s="192">
        <f t="shared" si="6"/>
        <v>0</v>
      </c>
      <c r="AG15" s="192">
        <f t="shared" si="7"/>
        <v>0.88666666666666671</v>
      </c>
      <c r="AH15" s="192">
        <f t="shared" si="8"/>
        <v>2.0509090909090908</v>
      </c>
      <c r="AI15" s="265">
        <f t="shared" si="9"/>
        <v>0.5</v>
      </c>
      <c r="AJ15" s="192">
        <f t="shared" si="10"/>
        <v>0.76909090909090916</v>
      </c>
      <c r="AK15" s="265">
        <f t="shared" si="11"/>
        <v>1.33</v>
      </c>
      <c r="AL15" s="192">
        <f t="shared" si="12"/>
        <v>0</v>
      </c>
      <c r="AM15" s="192">
        <f t="shared" si="13"/>
        <v>0.44333333333333336</v>
      </c>
      <c r="AN15" s="192">
        <f t="shared" si="14"/>
        <v>0.88666666666666671</v>
      </c>
      <c r="AO15" s="192">
        <f t="shared" si="15"/>
        <v>2</v>
      </c>
    </row>
    <row r="16" spans="1:41" ht="18" hidden="1" customHeight="1">
      <c r="A16" s="80">
        <f t="shared" si="16"/>
        <v>13</v>
      </c>
      <c r="B16" s="311"/>
      <c r="C16" s="311"/>
      <c r="D16" s="98" t="s">
        <v>190</v>
      </c>
      <c r="E16" s="227"/>
      <c r="F16" s="81" t="s">
        <v>156</v>
      </c>
      <c r="G16" s="85"/>
      <c r="H16" s="66"/>
      <c r="I16" s="66"/>
      <c r="J16" s="66"/>
      <c r="K16" s="66"/>
      <c r="L16" s="66"/>
      <c r="M16" s="277"/>
      <c r="N16" s="277"/>
      <c r="O16" s="277">
        <v>3</v>
      </c>
      <c r="P16" s="277">
        <v>5</v>
      </c>
      <c r="Q16" s="277">
        <v>3</v>
      </c>
      <c r="R16" s="277"/>
      <c r="S16" s="277">
        <v>1</v>
      </c>
      <c r="T16" s="277">
        <v>5</v>
      </c>
      <c r="U16" s="277">
        <v>2</v>
      </c>
      <c r="V16" s="74">
        <f t="shared" si="0"/>
        <v>19</v>
      </c>
      <c r="W16" s="38">
        <f t="shared" si="1"/>
        <v>9.5</v>
      </c>
      <c r="X16" s="38">
        <f t="shared" si="2"/>
        <v>20.9</v>
      </c>
      <c r="Y16" s="75">
        <f t="shared" si="3"/>
        <v>17.733333333333334</v>
      </c>
      <c r="Z16" s="164">
        <f t="shared" si="4"/>
        <v>8.8666666666666671</v>
      </c>
      <c r="AA16" s="174"/>
      <c r="AB16" s="174"/>
      <c r="AC16" s="174"/>
      <c r="AD16" s="175"/>
      <c r="AE16" s="192">
        <f t="shared" si="5"/>
        <v>0</v>
      </c>
      <c r="AF16" s="192">
        <f t="shared" si="6"/>
        <v>0</v>
      </c>
      <c r="AG16" s="192">
        <f t="shared" si="7"/>
        <v>0.88666666666666671</v>
      </c>
      <c r="AH16" s="192">
        <f t="shared" si="8"/>
        <v>2.0509090909090908</v>
      </c>
      <c r="AI16" s="265">
        <f t="shared" si="9"/>
        <v>0.5</v>
      </c>
      <c r="AJ16" s="192">
        <f t="shared" si="10"/>
        <v>0.76909090909090916</v>
      </c>
      <c r="AK16" s="265">
        <f t="shared" si="11"/>
        <v>1.33</v>
      </c>
      <c r="AL16" s="192">
        <f t="shared" si="12"/>
        <v>0</v>
      </c>
      <c r="AM16" s="192">
        <f t="shared" si="13"/>
        <v>0.44333333333333336</v>
      </c>
      <c r="AN16" s="192">
        <f t="shared" si="14"/>
        <v>0.88666666666666671</v>
      </c>
      <c r="AO16" s="192">
        <f t="shared" si="15"/>
        <v>2</v>
      </c>
    </row>
    <row r="17" spans="1:43" ht="18" hidden="1" customHeight="1">
      <c r="A17" s="80">
        <f t="shared" si="16"/>
        <v>14</v>
      </c>
      <c r="B17" s="311"/>
      <c r="C17" s="312"/>
      <c r="D17" s="90" t="s">
        <v>191</v>
      </c>
      <c r="E17" s="226"/>
      <c r="F17" s="81" t="s">
        <v>156</v>
      </c>
      <c r="G17" s="85"/>
      <c r="H17" s="66"/>
      <c r="I17" s="66"/>
      <c r="J17" s="66"/>
      <c r="K17" s="66"/>
      <c r="L17" s="66"/>
      <c r="M17" s="277"/>
      <c r="N17" s="277"/>
      <c r="O17" s="277">
        <v>3</v>
      </c>
      <c r="P17" s="277">
        <v>5</v>
      </c>
      <c r="Q17" s="277">
        <v>3</v>
      </c>
      <c r="R17" s="277"/>
      <c r="S17" s="277">
        <v>1</v>
      </c>
      <c r="T17" s="277">
        <v>5</v>
      </c>
      <c r="U17" s="277">
        <v>2</v>
      </c>
      <c r="V17" s="74">
        <f t="shared" si="0"/>
        <v>19</v>
      </c>
      <c r="W17" s="38">
        <f t="shared" si="1"/>
        <v>9.5</v>
      </c>
      <c r="X17" s="38">
        <f t="shared" si="2"/>
        <v>20.9</v>
      </c>
      <c r="Y17" s="75">
        <f t="shared" si="3"/>
        <v>17.733333333333334</v>
      </c>
      <c r="Z17" s="164">
        <f t="shared" si="4"/>
        <v>8.8666666666666671</v>
      </c>
      <c r="AA17" s="174"/>
      <c r="AB17" s="174"/>
      <c r="AC17" s="174"/>
      <c r="AD17" s="175"/>
      <c r="AE17" s="192">
        <f t="shared" si="5"/>
        <v>0</v>
      </c>
      <c r="AF17" s="192">
        <f t="shared" si="6"/>
        <v>0</v>
      </c>
      <c r="AG17" s="192">
        <f t="shared" si="7"/>
        <v>0.88666666666666671</v>
      </c>
      <c r="AH17" s="192">
        <f t="shared" si="8"/>
        <v>2.0509090909090908</v>
      </c>
      <c r="AI17" s="265">
        <f t="shared" si="9"/>
        <v>0.5</v>
      </c>
      <c r="AJ17" s="192">
        <f t="shared" si="10"/>
        <v>0.76909090909090916</v>
      </c>
      <c r="AK17" s="265">
        <f t="shared" si="11"/>
        <v>1.33</v>
      </c>
      <c r="AL17" s="192">
        <f t="shared" si="12"/>
        <v>0</v>
      </c>
      <c r="AM17" s="192">
        <f t="shared" si="13"/>
        <v>0.44333333333333336</v>
      </c>
      <c r="AN17" s="192">
        <f t="shared" si="14"/>
        <v>0.88666666666666671</v>
      </c>
      <c r="AO17" s="192">
        <f t="shared" si="15"/>
        <v>2</v>
      </c>
    </row>
    <row r="18" spans="1:43" ht="18" customHeight="1">
      <c r="A18" s="80">
        <f t="shared" si="16"/>
        <v>15</v>
      </c>
      <c r="B18" s="311"/>
      <c r="C18" s="279" t="s">
        <v>192</v>
      </c>
      <c r="D18" s="103" t="s">
        <v>193</v>
      </c>
      <c r="E18" s="228"/>
      <c r="F18" s="81" t="s">
        <v>176</v>
      </c>
      <c r="G18" s="85"/>
      <c r="H18" s="66"/>
      <c r="I18" s="66"/>
      <c r="J18" s="66"/>
      <c r="K18" s="66"/>
      <c r="L18" s="66"/>
      <c r="M18" s="277"/>
      <c r="N18" s="277"/>
      <c r="O18" s="277">
        <v>2</v>
      </c>
      <c r="P18" s="277">
        <v>5</v>
      </c>
      <c r="Q18" s="277">
        <v>2</v>
      </c>
      <c r="R18" s="277"/>
      <c r="S18" s="277">
        <v>1</v>
      </c>
      <c r="T18" s="277">
        <v>2</v>
      </c>
      <c r="U18" s="277">
        <v>2</v>
      </c>
      <c r="V18" s="74">
        <f t="shared" si="0"/>
        <v>14</v>
      </c>
      <c r="W18" s="38">
        <f t="shared" si="1"/>
        <v>7</v>
      </c>
      <c r="X18" s="38">
        <f t="shared" si="2"/>
        <v>15.4</v>
      </c>
      <c r="Y18" s="75">
        <f t="shared" si="3"/>
        <v>13.066666666666668</v>
      </c>
      <c r="Z18" s="164">
        <f t="shared" si="4"/>
        <v>6.5333333333333341</v>
      </c>
      <c r="AA18" s="174"/>
      <c r="AB18" s="174"/>
      <c r="AC18" s="174"/>
      <c r="AD18" s="175"/>
      <c r="AE18" s="192">
        <f t="shared" si="5"/>
        <v>0</v>
      </c>
      <c r="AF18" s="192">
        <f t="shared" si="6"/>
        <v>0</v>
      </c>
      <c r="AG18" s="192">
        <f t="shared" si="7"/>
        <v>0.65333333333333343</v>
      </c>
      <c r="AH18" s="192">
        <f t="shared" si="8"/>
        <v>1.0327272727272725</v>
      </c>
      <c r="AI18" s="265">
        <f t="shared" si="9"/>
        <v>0.5</v>
      </c>
      <c r="AJ18" s="192">
        <f t="shared" si="10"/>
        <v>0.38727272727272721</v>
      </c>
      <c r="AK18" s="265">
        <f t="shared" si="11"/>
        <v>0.98000000000000009</v>
      </c>
      <c r="AL18" s="192">
        <f t="shared" si="12"/>
        <v>0</v>
      </c>
      <c r="AM18" s="192">
        <f t="shared" si="13"/>
        <v>0.32666666666666672</v>
      </c>
      <c r="AN18" s="192">
        <f t="shared" si="14"/>
        <v>0.65333333333333343</v>
      </c>
      <c r="AO18" s="192">
        <f t="shared" si="15"/>
        <v>2</v>
      </c>
    </row>
    <row r="19" spans="1:43" ht="18" hidden="1" customHeight="1">
      <c r="A19" s="80">
        <f t="shared" si="16"/>
        <v>16</v>
      </c>
      <c r="B19" s="311"/>
      <c r="C19" s="315" t="s">
        <v>142</v>
      </c>
      <c r="D19" s="98" t="s">
        <v>194</v>
      </c>
      <c r="E19" s="227"/>
      <c r="F19" s="81" t="s">
        <v>156</v>
      </c>
      <c r="G19" s="85"/>
      <c r="H19" s="66"/>
      <c r="I19" s="66"/>
      <c r="J19" s="66"/>
      <c r="K19" s="66"/>
      <c r="L19" s="66"/>
      <c r="M19" s="277"/>
      <c r="N19" s="277"/>
      <c r="O19" s="277"/>
      <c r="P19" s="277"/>
      <c r="Q19" s="277"/>
      <c r="R19" s="277"/>
      <c r="S19" s="277"/>
      <c r="T19" s="277"/>
      <c r="U19" s="277">
        <v>2</v>
      </c>
      <c r="V19" s="74">
        <f t="shared" si="0"/>
        <v>2</v>
      </c>
      <c r="W19" s="38">
        <f t="shared" si="1"/>
        <v>1</v>
      </c>
      <c r="X19" s="38">
        <f t="shared" si="2"/>
        <v>2.2000000000000002</v>
      </c>
      <c r="Y19" s="75">
        <f t="shared" si="3"/>
        <v>1.8666666666666665</v>
      </c>
      <c r="Z19" s="164">
        <f t="shared" si="4"/>
        <v>0.93333333333333324</v>
      </c>
      <c r="AA19" s="174"/>
      <c r="AB19" s="174"/>
      <c r="AC19" s="174"/>
      <c r="AD19" s="175"/>
      <c r="AE19" s="192">
        <f t="shared" si="5"/>
        <v>0</v>
      </c>
      <c r="AF19" s="192">
        <f t="shared" si="6"/>
        <v>0</v>
      </c>
      <c r="AG19" s="192">
        <f t="shared" si="7"/>
        <v>0</v>
      </c>
      <c r="AH19" s="192">
        <f t="shared" si="8"/>
        <v>-1.2066666666666668</v>
      </c>
      <c r="AI19" s="265">
        <f t="shared" si="9"/>
        <v>0</v>
      </c>
      <c r="AJ19" s="192">
        <f t="shared" si="10"/>
        <v>0</v>
      </c>
      <c r="AK19" s="265">
        <f t="shared" si="11"/>
        <v>0.13999999999999999</v>
      </c>
      <c r="AL19" s="192">
        <f t="shared" si="12"/>
        <v>0</v>
      </c>
      <c r="AM19" s="192">
        <f t="shared" si="13"/>
        <v>0</v>
      </c>
      <c r="AN19" s="192">
        <f t="shared" si="14"/>
        <v>0</v>
      </c>
      <c r="AO19" s="192">
        <f t="shared" si="15"/>
        <v>2</v>
      </c>
    </row>
    <row r="20" spans="1:43" ht="18" hidden="1" customHeight="1">
      <c r="A20" s="80">
        <f t="shared" si="16"/>
        <v>17</v>
      </c>
      <c r="B20" s="311"/>
      <c r="C20" s="311"/>
      <c r="D20" s="98" t="s">
        <v>195</v>
      </c>
      <c r="E20" s="227"/>
      <c r="F20" s="81" t="s">
        <v>156</v>
      </c>
      <c r="G20" s="85"/>
      <c r="H20" s="66"/>
      <c r="I20" s="66"/>
      <c r="J20" s="66"/>
      <c r="K20" s="66"/>
      <c r="L20" s="66"/>
      <c r="M20" s="277"/>
      <c r="N20" s="277"/>
      <c r="O20" s="277"/>
      <c r="P20" s="277"/>
      <c r="Q20" s="277"/>
      <c r="R20" s="277"/>
      <c r="S20" s="277"/>
      <c r="T20" s="277"/>
      <c r="U20" s="277">
        <v>2</v>
      </c>
      <c r="V20" s="74">
        <f t="shared" si="0"/>
        <v>2</v>
      </c>
      <c r="W20" s="38">
        <f t="shared" si="1"/>
        <v>1</v>
      </c>
      <c r="X20" s="38">
        <f t="shared" si="2"/>
        <v>2.2000000000000002</v>
      </c>
      <c r="Y20" s="75">
        <f t="shared" si="3"/>
        <v>1.8666666666666665</v>
      </c>
      <c r="Z20" s="164">
        <f t="shared" si="4"/>
        <v>0.93333333333333324</v>
      </c>
      <c r="AA20" s="174"/>
      <c r="AB20" s="174"/>
      <c r="AC20" s="174"/>
      <c r="AD20" s="175"/>
      <c r="AE20" s="192">
        <f t="shared" si="5"/>
        <v>0</v>
      </c>
      <c r="AF20" s="192">
        <f t="shared" si="6"/>
        <v>0</v>
      </c>
      <c r="AG20" s="192">
        <f t="shared" si="7"/>
        <v>0</v>
      </c>
      <c r="AH20" s="192">
        <f t="shared" si="8"/>
        <v>-1.2066666666666668</v>
      </c>
      <c r="AI20" s="265">
        <f t="shared" si="9"/>
        <v>0</v>
      </c>
      <c r="AJ20" s="192">
        <f t="shared" si="10"/>
        <v>0</v>
      </c>
      <c r="AK20" s="265">
        <f t="shared" si="11"/>
        <v>0.13999999999999999</v>
      </c>
      <c r="AL20" s="192">
        <f t="shared" si="12"/>
        <v>0</v>
      </c>
      <c r="AM20" s="192">
        <f t="shared" si="13"/>
        <v>0</v>
      </c>
      <c r="AN20" s="192">
        <f t="shared" si="14"/>
        <v>0</v>
      </c>
      <c r="AO20" s="192">
        <f t="shared" si="15"/>
        <v>2</v>
      </c>
    </row>
    <row r="21" spans="1:43" ht="18" hidden="1" customHeight="1">
      <c r="A21" s="80">
        <f t="shared" si="16"/>
        <v>18</v>
      </c>
      <c r="B21" s="312"/>
      <c r="C21" s="312"/>
      <c r="D21" s="98" t="s">
        <v>196</v>
      </c>
      <c r="E21" s="227"/>
      <c r="F21" s="81" t="s">
        <v>156</v>
      </c>
      <c r="G21" s="85"/>
      <c r="H21" s="66"/>
      <c r="I21" s="66"/>
      <c r="J21" s="66"/>
      <c r="K21" s="66"/>
      <c r="L21" s="66"/>
      <c r="M21" s="277"/>
      <c r="N21" s="277"/>
      <c r="O21" s="277"/>
      <c r="P21" s="277"/>
      <c r="Q21" s="277"/>
      <c r="R21" s="277"/>
      <c r="S21" s="277"/>
      <c r="T21" s="277"/>
      <c r="U21" s="277">
        <v>2</v>
      </c>
      <c r="V21" s="74">
        <f t="shared" si="0"/>
        <v>2</v>
      </c>
      <c r="W21" s="38">
        <f t="shared" si="1"/>
        <v>1</v>
      </c>
      <c r="X21" s="38">
        <f t="shared" si="2"/>
        <v>2.2000000000000002</v>
      </c>
      <c r="Y21" s="75">
        <f t="shared" si="3"/>
        <v>1.8666666666666665</v>
      </c>
      <c r="Z21" s="164">
        <f t="shared" si="4"/>
        <v>0.93333333333333324</v>
      </c>
      <c r="AA21" s="174"/>
      <c r="AB21" s="174"/>
      <c r="AC21" s="174"/>
      <c r="AD21" s="175"/>
      <c r="AE21" s="192">
        <f t="shared" si="5"/>
        <v>0</v>
      </c>
      <c r="AF21" s="192">
        <f t="shared" si="6"/>
        <v>0</v>
      </c>
      <c r="AG21" s="192">
        <f t="shared" si="7"/>
        <v>0</v>
      </c>
      <c r="AH21" s="192">
        <f t="shared" si="8"/>
        <v>-1.2066666666666668</v>
      </c>
      <c r="AI21" s="265">
        <f t="shared" si="9"/>
        <v>0</v>
      </c>
      <c r="AJ21" s="192">
        <f t="shared" si="10"/>
        <v>0</v>
      </c>
      <c r="AK21" s="265">
        <f t="shared" si="11"/>
        <v>0.13999999999999999</v>
      </c>
      <c r="AL21" s="192">
        <f t="shared" si="12"/>
        <v>0</v>
      </c>
      <c r="AM21" s="192">
        <f t="shared" si="13"/>
        <v>0</v>
      </c>
      <c r="AN21" s="192">
        <f t="shared" si="14"/>
        <v>0</v>
      </c>
      <c r="AO21" s="192">
        <f t="shared" si="15"/>
        <v>2</v>
      </c>
    </row>
    <row r="22" spans="1:43" ht="18" customHeight="1">
      <c r="A22" s="80">
        <f t="shared" si="16"/>
        <v>19</v>
      </c>
      <c r="B22" s="310" t="s">
        <v>164</v>
      </c>
      <c r="C22" s="76" t="s">
        <v>197</v>
      </c>
      <c r="D22" s="89" t="s">
        <v>198</v>
      </c>
      <c r="E22" s="245" t="s">
        <v>199</v>
      </c>
      <c r="F22" s="81" t="s">
        <v>176</v>
      </c>
      <c r="G22" s="85"/>
      <c r="H22" s="66"/>
      <c r="I22" s="66"/>
      <c r="J22" s="66"/>
      <c r="K22" s="66"/>
      <c r="L22" s="66"/>
      <c r="M22" s="277"/>
      <c r="N22" s="277"/>
      <c r="O22" s="277">
        <v>5</v>
      </c>
      <c r="P22" s="277">
        <v>6</v>
      </c>
      <c r="Q22" s="277">
        <v>3</v>
      </c>
      <c r="R22" s="277"/>
      <c r="S22" s="277">
        <v>3</v>
      </c>
      <c r="T22" s="277">
        <v>5</v>
      </c>
      <c r="U22" s="277">
        <v>2</v>
      </c>
      <c r="V22" s="74">
        <f t="shared" si="0"/>
        <v>24</v>
      </c>
      <c r="W22" s="38">
        <f t="shared" si="1"/>
        <v>12</v>
      </c>
      <c r="X22" s="38">
        <f t="shared" si="2"/>
        <v>26.4</v>
      </c>
      <c r="Y22" s="75">
        <f t="shared" si="3"/>
        <v>22.400000000000002</v>
      </c>
      <c r="Z22" s="164">
        <f t="shared" si="4"/>
        <v>11.200000000000001</v>
      </c>
      <c r="AA22" s="173">
        <v>46227</v>
      </c>
      <c r="AB22" s="173"/>
      <c r="AC22" s="174"/>
      <c r="AD22" s="175"/>
      <c r="AE22" s="192">
        <f t="shared" si="5"/>
        <v>0</v>
      </c>
      <c r="AF22" s="192">
        <f t="shared" si="6"/>
        <v>0</v>
      </c>
      <c r="AG22" s="192">
        <f t="shared" si="7"/>
        <v>1.1200000000000001</v>
      </c>
      <c r="AH22" s="192">
        <f t="shared" si="8"/>
        <v>3.0690909090909098</v>
      </c>
      <c r="AI22" s="265">
        <f t="shared" si="9"/>
        <v>0.5</v>
      </c>
      <c r="AJ22" s="192">
        <f t="shared" si="10"/>
        <v>1.1509090909090913</v>
      </c>
      <c r="AK22" s="265">
        <f t="shared" si="11"/>
        <v>1.6800000000000002</v>
      </c>
      <c r="AL22" s="192">
        <f t="shared" si="12"/>
        <v>0</v>
      </c>
      <c r="AM22" s="192">
        <f t="shared" si="13"/>
        <v>0.56000000000000005</v>
      </c>
      <c r="AN22" s="192">
        <f t="shared" si="14"/>
        <v>1.1200000000000001</v>
      </c>
      <c r="AO22" s="192">
        <f t="shared" si="15"/>
        <v>2</v>
      </c>
    </row>
    <row r="23" spans="1:43" ht="18" customHeight="1">
      <c r="A23" s="80">
        <f t="shared" si="16"/>
        <v>20</v>
      </c>
      <c r="B23" s="311"/>
      <c r="C23" s="315" t="s">
        <v>200</v>
      </c>
      <c r="D23" s="89" t="s">
        <v>201</v>
      </c>
      <c r="E23" s="229"/>
      <c r="F23" s="81" t="s">
        <v>176</v>
      </c>
      <c r="G23" s="85"/>
      <c r="H23" s="66"/>
      <c r="I23" s="66"/>
      <c r="J23" s="66"/>
      <c r="K23" s="66"/>
      <c r="L23" s="66"/>
      <c r="M23" s="277"/>
      <c r="N23" s="277"/>
      <c r="O23" s="277">
        <v>3</v>
      </c>
      <c r="P23" s="277">
        <v>5</v>
      </c>
      <c r="Q23" s="277">
        <v>4</v>
      </c>
      <c r="R23" s="277"/>
      <c r="S23" s="277">
        <v>1</v>
      </c>
      <c r="T23" s="277">
        <v>3</v>
      </c>
      <c r="U23" s="277">
        <v>2</v>
      </c>
      <c r="V23" s="74">
        <f t="shared" si="0"/>
        <v>18</v>
      </c>
      <c r="W23" s="38">
        <f t="shared" si="1"/>
        <v>9</v>
      </c>
      <c r="X23" s="38">
        <f t="shared" si="2"/>
        <v>19.8</v>
      </c>
      <c r="Y23" s="75">
        <f t="shared" si="3"/>
        <v>16.8</v>
      </c>
      <c r="Z23" s="164">
        <f t="shared" si="4"/>
        <v>8.4</v>
      </c>
      <c r="AA23" s="173"/>
      <c r="AB23" s="173"/>
      <c r="AC23" s="174"/>
      <c r="AD23" s="175"/>
      <c r="AE23" s="192">
        <f t="shared" si="5"/>
        <v>0</v>
      </c>
      <c r="AF23" s="192">
        <f t="shared" si="6"/>
        <v>0</v>
      </c>
      <c r="AG23" s="192">
        <f t="shared" si="7"/>
        <v>0.84000000000000008</v>
      </c>
      <c r="AH23" s="192">
        <f t="shared" si="8"/>
        <v>1.8472727272727281</v>
      </c>
      <c r="AI23" s="265">
        <f t="shared" si="9"/>
        <v>0.5</v>
      </c>
      <c r="AJ23" s="192">
        <f t="shared" si="10"/>
        <v>0.69272727272727286</v>
      </c>
      <c r="AK23" s="265">
        <f t="shared" si="11"/>
        <v>1.26</v>
      </c>
      <c r="AL23" s="192">
        <f t="shared" si="12"/>
        <v>0</v>
      </c>
      <c r="AM23" s="192">
        <f t="shared" si="13"/>
        <v>0.42000000000000004</v>
      </c>
      <c r="AN23" s="192">
        <f t="shared" si="14"/>
        <v>0.84000000000000008</v>
      </c>
      <c r="AO23" s="192">
        <f t="shared" si="15"/>
        <v>2</v>
      </c>
    </row>
    <row r="24" spans="1:43" ht="18" customHeight="1">
      <c r="A24" s="80">
        <f t="shared" si="16"/>
        <v>21</v>
      </c>
      <c r="B24" s="311"/>
      <c r="C24" s="311"/>
      <c r="D24" s="89" t="s">
        <v>202</v>
      </c>
      <c r="E24" s="229"/>
      <c r="F24" s="81" t="s">
        <v>176</v>
      </c>
      <c r="G24" s="85"/>
      <c r="H24" s="66"/>
      <c r="I24" s="66"/>
      <c r="J24" s="66"/>
      <c r="K24" s="66"/>
      <c r="L24" s="66"/>
      <c r="M24" s="277"/>
      <c r="N24" s="277"/>
      <c r="O24" s="277">
        <v>3</v>
      </c>
      <c r="P24" s="277">
        <v>3</v>
      </c>
      <c r="Q24" s="277">
        <v>2</v>
      </c>
      <c r="R24" s="277"/>
      <c r="S24" s="277">
        <v>1</v>
      </c>
      <c r="T24" s="277">
        <v>3</v>
      </c>
      <c r="U24" s="277">
        <v>2</v>
      </c>
      <c r="V24" s="74">
        <f t="shared" si="0"/>
        <v>14</v>
      </c>
      <c r="W24" s="38">
        <f t="shared" si="1"/>
        <v>7</v>
      </c>
      <c r="X24" s="38">
        <f t="shared" si="2"/>
        <v>15.4</v>
      </c>
      <c r="Y24" s="75">
        <f t="shared" si="3"/>
        <v>13.066666666666668</v>
      </c>
      <c r="Z24" s="164">
        <f t="shared" si="4"/>
        <v>6.5333333333333341</v>
      </c>
      <c r="AA24" s="173"/>
      <c r="AB24" s="173"/>
      <c r="AC24" s="174"/>
      <c r="AD24" s="175"/>
      <c r="AE24" s="192">
        <f t="shared" si="5"/>
        <v>0</v>
      </c>
      <c r="AF24" s="192">
        <f t="shared" si="6"/>
        <v>0</v>
      </c>
      <c r="AG24" s="192">
        <f t="shared" si="7"/>
        <v>0.65333333333333343</v>
      </c>
      <c r="AH24" s="192">
        <f t="shared" si="8"/>
        <v>1.0327272727272725</v>
      </c>
      <c r="AI24" s="265">
        <f t="shared" si="9"/>
        <v>0.5</v>
      </c>
      <c r="AJ24" s="192">
        <f t="shared" si="10"/>
        <v>0.38727272727272721</v>
      </c>
      <c r="AK24" s="265">
        <f t="shared" si="11"/>
        <v>0.98000000000000009</v>
      </c>
      <c r="AL24" s="192">
        <f t="shared" si="12"/>
        <v>0</v>
      </c>
      <c r="AM24" s="192">
        <f t="shared" si="13"/>
        <v>0.32666666666666672</v>
      </c>
      <c r="AN24" s="192">
        <f t="shared" si="14"/>
        <v>0.65333333333333343</v>
      </c>
      <c r="AO24" s="192">
        <f t="shared" si="15"/>
        <v>2</v>
      </c>
    </row>
    <row r="25" spans="1:43" ht="18" customHeight="1">
      <c r="A25" s="80">
        <f t="shared" si="16"/>
        <v>22</v>
      </c>
      <c r="B25" s="311"/>
      <c r="C25" s="312"/>
      <c r="D25" s="97" t="s">
        <v>203</v>
      </c>
      <c r="E25" s="230"/>
      <c r="F25" s="81" t="s">
        <v>176</v>
      </c>
      <c r="G25" s="85"/>
      <c r="H25" s="66"/>
      <c r="I25" s="66"/>
      <c r="J25" s="66"/>
      <c r="K25" s="66"/>
      <c r="L25" s="66"/>
      <c r="M25" s="277"/>
      <c r="N25" s="277"/>
      <c r="O25" s="277">
        <v>4</v>
      </c>
      <c r="P25" s="277">
        <v>10</v>
      </c>
      <c r="Q25" s="277">
        <v>5</v>
      </c>
      <c r="R25" s="277"/>
      <c r="S25" s="277">
        <v>3</v>
      </c>
      <c r="T25" s="277">
        <v>6</v>
      </c>
      <c r="U25" s="277">
        <v>2</v>
      </c>
      <c r="V25" s="74">
        <f t="shared" si="0"/>
        <v>30</v>
      </c>
      <c r="W25" s="38">
        <f t="shared" si="1"/>
        <v>15</v>
      </c>
      <c r="X25" s="38">
        <f t="shared" si="2"/>
        <v>33</v>
      </c>
      <c r="Y25" s="75">
        <f t="shared" si="3"/>
        <v>28</v>
      </c>
      <c r="Z25" s="164">
        <f t="shared" si="4"/>
        <v>14</v>
      </c>
      <c r="AA25" s="174"/>
      <c r="AB25" s="174"/>
      <c r="AC25" s="174"/>
      <c r="AD25" s="175"/>
      <c r="AE25" s="192">
        <f t="shared" si="5"/>
        <v>0</v>
      </c>
      <c r="AF25" s="192">
        <f t="shared" si="6"/>
        <v>0</v>
      </c>
      <c r="AG25" s="192">
        <f t="shared" si="7"/>
        <v>1.4000000000000001</v>
      </c>
      <c r="AH25" s="192">
        <f t="shared" si="8"/>
        <v>4.290909090909091</v>
      </c>
      <c r="AI25" s="265">
        <f t="shared" si="9"/>
        <v>0.5</v>
      </c>
      <c r="AJ25" s="192">
        <f t="shared" si="10"/>
        <v>1.6090909090909089</v>
      </c>
      <c r="AK25" s="265">
        <f t="shared" si="11"/>
        <v>2.1</v>
      </c>
      <c r="AL25" s="192">
        <f t="shared" si="12"/>
        <v>0</v>
      </c>
      <c r="AM25" s="192">
        <f t="shared" si="13"/>
        <v>0.70000000000000007</v>
      </c>
      <c r="AN25" s="192">
        <f t="shared" si="14"/>
        <v>1.4000000000000001</v>
      </c>
      <c r="AO25" s="192">
        <f t="shared" si="15"/>
        <v>2</v>
      </c>
      <c r="AQ25" s="68" t="s">
        <v>204</v>
      </c>
    </row>
    <row r="26" spans="1:43" ht="18" customHeight="1">
      <c r="A26" s="80">
        <f t="shared" si="16"/>
        <v>23</v>
      </c>
      <c r="B26" s="311"/>
      <c r="C26" s="315" t="s">
        <v>205</v>
      </c>
      <c r="D26" s="87" t="s">
        <v>206</v>
      </c>
      <c r="E26" s="236" t="s">
        <v>207</v>
      </c>
      <c r="F26" s="81" t="s">
        <v>176</v>
      </c>
      <c r="G26" s="85"/>
      <c r="H26" s="66"/>
      <c r="I26" s="66"/>
      <c r="J26" s="66"/>
      <c r="K26" s="66"/>
      <c r="L26" s="66"/>
      <c r="M26" s="277"/>
      <c r="N26" s="277"/>
      <c r="O26" s="277">
        <v>5</v>
      </c>
      <c r="P26" s="277">
        <v>15</v>
      </c>
      <c r="Q26" s="277">
        <v>5</v>
      </c>
      <c r="R26" s="277"/>
      <c r="S26" s="277"/>
      <c r="T26" s="277"/>
      <c r="U26" s="277">
        <v>2</v>
      </c>
      <c r="V26" s="74">
        <f t="shared" si="0"/>
        <v>27</v>
      </c>
      <c r="W26" s="38">
        <f t="shared" si="1"/>
        <v>13.5</v>
      </c>
      <c r="X26" s="38">
        <f t="shared" si="2"/>
        <v>29.7</v>
      </c>
      <c r="Y26" s="75">
        <f t="shared" si="3"/>
        <v>25.2</v>
      </c>
      <c r="Z26" s="164">
        <f t="shared" si="4"/>
        <v>12.6</v>
      </c>
      <c r="AA26" s="173">
        <v>46160</v>
      </c>
      <c r="AB26" s="173">
        <v>46171</v>
      </c>
      <c r="AC26" s="173">
        <v>46174</v>
      </c>
      <c r="AD26" s="173">
        <v>46176</v>
      </c>
      <c r="AE26" s="192">
        <f t="shared" si="5"/>
        <v>0</v>
      </c>
      <c r="AF26" s="192">
        <f t="shared" si="6"/>
        <v>0</v>
      </c>
      <c r="AG26" s="192">
        <f t="shared" si="7"/>
        <v>1.26</v>
      </c>
      <c r="AH26" s="192">
        <f t="shared" si="8"/>
        <v>5.0545454545454538</v>
      </c>
      <c r="AI26" s="265">
        <f t="shared" si="9"/>
        <v>0.5</v>
      </c>
      <c r="AJ26" s="192">
        <f t="shared" si="10"/>
        <v>1.8954545454545448</v>
      </c>
      <c r="AK26" s="265">
        <f t="shared" si="11"/>
        <v>1.89</v>
      </c>
      <c r="AL26" s="192">
        <f t="shared" si="12"/>
        <v>0</v>
      </c>
      <c r="AM26" s="192">
        <f t="shared" si="13"/>
        <v>0</v>
      </c>
      <c r="AN26" s="192">
        <f t="shared" si="14"/>
        <v>0</v>
      </c>
      <c r="AO26" s="192">
        <f t="shared" si="15"/>
        <v>2</v>
      </c>
    </row>
    <row r="27" spans="1:43" ht="18" customHeight="1">
      <c r="A27" s="80">
        <f t="shared" si="16"/>
        <v>24</v>
      </c>
      <c r="B27" s="311"/>
      <c r="C27" s="311"/>
      <c r="D27" s="87" t="s">
        <v>208</v>
      </c>
      <c r="E27" s="236" t="s">
        <v>209</v>
      </c>
      <c r="F27" s="81" t="s">
        <v>176</v>
      </c>
      <c r="G27" s="85"/>
      <c r="H27" s="66"/>
      <c r="I27" s="66"/>
      <c r="J27" s="66"/>
      <c r="K27" s="66"/>
      <c r="L27" s="66"/>
      <c r="M27" s="277"/>
      <c r="N27" s="277"/>
      <c r="O27" s="277">
        <v>5</v>
      </c>
      <c r="P27" s="277">
        <f>12+3</f>
        <v>15</v>
      </c>
      <c r="Q27" s="277">
        <v>5</v>
      </c>
      <c r="R27" s="277"/>
      <c r="S27" s="277">
        <v>2</v>
      </c>
      <c r="T27" s="277">
        <v>5</v>
      </c>
      <c r="U27" s="277">
        <v>2</v>
      </c>
      <c r="V27" s="74">
        <f t="shared" si="0"/>
        <v>34</v>
      </c>
      <c r="W27" s="38">
        <f t="shared" si="1"/>
        <v>17</v>
      </c>
      <c r="X27" s="38">
        <f t="shared" si="2"/>
        <v>37.4</v>
      </c>
      <c r="Y27" s="75">
        <f t="shared" si="3"/>
        <v>31.733333333333334</v>
      </c>
      <c r="Z27" s="164">
        <f t="shared" si="4"/>
        <v>15.866666666666667</v>
      </c>
      <c r="AA27" s="173">
        <v>46177</v>
      </c>
      <c r="AB27" s="173">
        <v>46190</v>
      </c>
      <c r="AC27" s="173">
        <v>46191</v>
      </c>
      <c r="AD27" s="173">
        <v>46195</v>
      </c>
      <c r="AE27" s="192">
        <f t="shared" si="5"/>
        <v>0</v>
      </c>
      <c r="AF27" s="192">
        <f t="shared" si="6"/>
        <v>0</v>
      </c>
      <c r="AG27" s="192">
        <f t="shared" si="7"/>
        <v>1.5866666666666669</v>
      </c>
      <c r="AH27" s="192">
        <f t="shared" si="8"/>
        <v>5.1054545454545481</v>
      </c>
      <c r="AI27" s="265">
        <f t="shared" si="9"/>
        <v>0.5</v>
      </c>
      <c r="AJ27" s="192">
        <f t="shared" si="10"/>
        <v>1.914545454545455</v>
      </c>
      <c r="AK27" s="265">
        <f t="shared" si="11"/>
        <v>2.38</v>
      </c>
      <c r="AL27" s="192">
        <f t="shared" si="12"/>
        <v>0</v>
      </c>
      <c r="AM27" s="192">
        <f t="shared" si="13"/>
        <v>0.79333333333333345</v>
      </c>
      <c r="AN27" s="192">
        <f t="shared" si="14"/>
        <v>1.5866666666666669</v>
      </c>
      <c r="AO27" s="192">
        <f t="shared" si="15"/>
        <v>2</v>
      </c>
    </row>
    <row r="28" spans="1:43" ht="18" customHeight="1">
      <c r="A28" s="80">
        <f t="shared" si="16"/>
        <v>25</v>
      </c>
      <c r="B28" s="312"/>
      <c r="C28" s="312"/>
      <c r="D28" s="87" t="s">
        <v>210</v>
      </c>
      <c r="E28" s="236" t="s">
        <v>211</v>
      </c>
      <c r="F28" s="81" t="s">
        <v>176</v>
      </c>
      <c r="G28" s="85"/>
      <c r="H28" s="66"/>
      <c r="I28" s="66"/>
      <c r="J28" s="66"/>
      <c r="K28" s="66"/>
      <c r="L28" s="66"/>
      <c r="M28" s="277"/>
      <c r="N28" s="277"/>
      <c r="O28" s="277">
        <v>5</v>
      </c>
      <c r="P28" s="277">
        <f>7+3</f>
        <v>10</v>
      </c>
      <c r="Q28" s="277">
        <v>5</v>
      </c>
      <c r="R28" s="277"/>
      <c r="S28" s="277">
        <v>2</v>
      </c>
      <c r="T28" s="277">
        <v>5</v>
      </c>
      <c r="U28" s="277">
        <v>2</v>
      </c>
      <c r="V28" s="74">
        <f t="shared" si="0"/>
        <v>29</v>
      </c>
      <c r="W28" s="38">
        <f t="shared" si="1"/>
        <v>14.5</v>
      </c>
      <c r="X28" s="38">
        <f t="shared" si="2"/>
        <v>31.9</v>
      </c>
      <c r="Y28" s="75">
        <f t="shared" si="3"/>
        <v>27.066666666666666</v>
      </c>
      <c r="Z28" s="164">
        <f t="shared" si="4"/>
        <v>13.533333333333333</v>
      </c>
      <c r="AA28" s="173">
        <v>46195</v>
      </c>
      <c r="AB28" s="173">
        <v>46203</v>
      </c>
      <c r="AC28" s="173">
        <v>46204</v>
      </c>
      <c r="AD28" s="173">
        <v>46206</v>
      </c>
      <c r="AE28" s="192">
        <f t="shared" si="5"/>
        <v>0</v>
      </c>
      <c r="AF28" s="192">
        <f t="shared" si="6"/>
        <v>0</v>
      </c>
      <c r="AG28" s="192">
        <f t="shared" si="7"/>
        <v>1.3533333333333335</v>
      </c>
      <c r="AH28" s="192">
        <f t="shared" si="8"/>
        <v>4.0872727272727269</v>
      </c>
      <c r="AI28" s="265">
        <f t="shared" si="9"/>
        <v>0.5</v>
      </c>
      <c r="AJ28" s="192">
        <f t="shared" si="10"/>
        <v>1.5327272727272723</v>
      </c>
      <c r="AK28" s="265">
        <f t="shared" si="11"/>
        <v>2.0299999999999998</v>
      </c>
      <c r="AL28" s="192">
        <f t="shared" si="12"/>
        <v>0</v>
      </c>
      <c r="AM28" s="192">
        <f t="shared" si="13"/>
        <v>0.67666666666666675</v>
      </c>
      <c r="AN28" s="192">
        <f t="shared" si="14"/>
        <v>1.3533333333333335</v>
      </c>
      <c r="AO28" s="192">
        <f t="shared" si="15"/>
        <v>2</v>
      </c>
    </row>
    <row r="29" spans="1:43" ht="18" hidden="1" customHeight="1">
      <c r="A29" s="80">
        <f t="shared" si="16"/>
        <v>26</v>
      </c>
      <c r="B29" s="315" t="s">
        <v>212</v>
      </c>
      <c r="C29" s="66" t="s">
        <v>213</v>
      </c>
      <c r="D29" s="87" t="s">
        <v>214</v>
      </c>
      <c r="E29" s="231"/>
      <c r="F29" s="81" t="s">
        <v>156</v>
      </c>
      <c r="G29" s="85"/>
      <c r="H29" s="66"/>
      <c r="I29" s="66"/>
      <c r="J29" s="66"/>
      <c r="K29" s="66"/>
      <c r="L29" s="66"/>
      <c r="M29" s="277"/>
      <c r="N29" s="277">
        <v>5</v>
      </c>
      <c r="O29" s="277">
        <v>3</v>
      </c>
      <c r="P29" s="277">
        <v>15</v>
      </c>
      <c r="Q29" s="277">
        <v>10</v>
      </c>
      <c r="R29" s="277"/>
      <c r="S29" s="277">
        <v>3</v>
      </c>
      <c r="T29" s="277">
        <v>5</v>
      </c>
      <c r="U29" s="277">
        <v>2</v>
      </c>
      <c r="V29" s="74">
        <f t="shared" si="0"/>
        <v>43</v>
      </c>
      <c r="W29" s="38">
        <f t="shared" si="1"/>
        <v>21.5</v>
      </c>
      <c r="X29" s="38">
        <f t="shared" si="2"/>
        <v>47.3</v>
      </c>
      <c r="Y29" s="75">
        <f t="shared" si="3"/>
        <v>40.133333333333333</v>
      </c>
      <c r="Z29" s="164">
        <f t="shared" si="4"/>
        <v>20.066666666666666</v>
      </c>
      <c r="AA29" s="174"/>
      <c r="AB29" s="174"/>
      <c r="AC29" s="174"/>
      <c r="AD29" s="175"/>
      <c r="AE29" s="192">
        <f t="shared" si="5"/>
        <v>0</v>
      </c>
      <c r="AF29" s="192">
        <f t="shared" si="6"/>
        <v>1.0033333333333334</v>
      </c>
      <c r="AG29" s="192">
        <f t="shared" si="7"/>
        <v>2.0066666666666668</v>
      </c>
      <c r="AH29" s="192">
        <f t="shared" si="8"/>
        <v>6.2084848484848472</v>
      </c>
      <c r="AI29" s="265">
        <f t="shared" si="9"/>
        <v>0.5</v>
      </c>
      <c r="AJ29" s="192">
        <f t="shared" si="10"/>
        <v>2.3281818181818177</v>
      </c>
      <c r="AK29" s="265">
        <f t="shared" si="11"/>
        <v>3.01</v>
      </c>
      <c r="AL29" s="192">
        <f t="shared" si="12"/>
        <v>0</v>
      </c>
      <c r="AM29" s="192">
        <f t="shared" si="13"/>
        <v>1.0033333333333334</v>
      </c>
      <c r="AN29" s="192">
        <f t="shared" si="14"/>
        <v>2.0066666666666668</v>
      </c>
      <c r="AO29" s="192">
        <f t="shared" si="15"/>
        <v>2</v>
      </c>
    </row>
    <row r="30" spans="1:43" ht="18" hidden="1" customHeight="1">
      <c r="A30" s="80">
        <f t="shared" si="16"/>
        <v>27</v>
      </c>
      <c r="B30" s="311"/>
      <c r="C30" s="66" t="s">
        <v>215</v>
      </c>
      <c r="D30" s="95" t="s">
        <v>216</v>
      </c>
      <c r="E30" s="238"/>
      <c r="F30" s="81" t="s">
        <v>156</v>
      </c>
      <c r="G30" s="85"/>
      <c r="H30" s="66"/>
      <c r="I30" s="66"/>
      <c r="J30" s="66"/>
      <c r="K30" s="66"/>
      <c r="L30" s="66"/>
      <c r="M30" s="277"/>
      <c r="N30" s="277"/>
      <c r="O30" s="277"/>
      <c r="P30" s="277">
        <v>20</v>
      </c>
      <c r="Q30" s="277">
        <v>10</v>
      </c>
      <c r="R30" s="277"/>
      <c r="S30" s="277">
        <v>5</v>
      </c>
      <c r="T30" s="277">
        <v>6</v>
      </c>
      <c r="U30" s="277">
        <v>2</v>
      </c>
      <c r="V30" s="74">
        <f t="shared" si="0"/>
        <v>43</v>
      </c>
      <c r="W30" s="38">
        <f t="shared" si="1"/>
        <v>21.5</v>
      </c>
      <c r="X30" s="38">
        <f t="shared" si="2"/>
        <v>47.3</v>
      </c>
      <c r="Y30" s="75">
        <f t="shared" si="3"/>
        <v>40.133333333333333</v>
      </c>
      <c r="Z30" s="164">
        <f t="shared" si="4"/>
        <v>20.066666666666666</v>
      </c>
      <c r="AA30" s="173">
        <v>46209</v>
      </c>
      <c r="AB30" s="173">
        <v>46220</v>
      </c>
      <c r="AC30" s="173">
        <v>46220</v>
      </c>
      <c r="AD30" s="173">
        <v>46227</v>
      </c>
      <c r="AE30" s="192">
        <f t="shared" si="5"/>
        <v>0</v>
      </c>
      <c r="AF30" s="192">
        <f t="shared" si="6"/>
        <v>0</v>
      </c>
      <c r="AG30" s="192">
        <f t="shared" si="7"/>
        <v>0</v>
      </c>
      <c r="AH30" s="192">
        <f t="shared" si="8"/>
        <v>8.3975757575757548</v>
      </c>
      <c r="AI30" s="265">
        <f t="shared" si="9"/>
        <v>0.5</v>
      </c>
      <c r="AJ30" s="192">
        <f t="shared" si="10"/>
        <v>3.1490909090909081</v>
      </c>
      <c r="AK30" s="265">
        <f t="shared" si="11"/>
        <v>3.01</v>
      </c>
      <c r="AL30" s="192">
        <f t="shared" si="12"/>
        <v>0</v>
      </c>
      <c r="AM30" s="192">
        <f t="shared" si="13"/>
        <v>1.0033333333333334</v>
      </c>
      <c r="AN30" s="192">
        <f t="shared" si="14"/>
        <v>2.0066666666666668</v>
      </c>
      <c r="AO30" s="192">
        <f t="shared" si="15"/>
        <v>2</v>
      </c>
    </row>
    <row r="31" spans="1:43" ht="18" customHeight="1">
      <c r="A31" s="80">
        <f t="shared" si="16"/>
        <v>28</v>
      </c>
      <c r="B31" s="311"/>
      <c r="C31" s="66" t="s">
        <v>217</v>
      </c>
      <c r="D31" s="95" t="s">
        <v>218</v>
      </c>
      <c r="E31" s="237" t="s">
        <v>219</v>
      </c>
      <c r="F31" s="81" t="s">
        <v>176</v>
      </c>
      <c r="G31" s="85"/>
      <c r="H31" s="66"/>
      <c r="I31" s="66"/>
      <c r="J31" s="66"/>
      <c r="K31" s="66"/>
      <c r="L31" s="66"/>
      <c r="M31" s="277"/>
      <c r="N31" s="277"/>
      <c r="O31" s="277">
        <f>5+1</f>
        <v>6</v>
      </c>
      <c r="P31" s="277">
        <f>16+10</f>
        <v>26</v>
      </c>
      <c r="Q31" s="277">
        <v>10</v>
      </c>
      <c r="R31" s="277"/>
      <c r="S31" s="277"/>
      <c r="T31" s="277">
        <v>3</v>
      </c>
      <c r="U31" s="277">
        <v>2</v>
      </c>
      <c r="V31" s="74">
        <f t="shared" si="0"/>
        <v>47</v>
      </c>
      <c r="W31" s="38">
        <f t="shared" si="1"/>
        <v>23.5</v>
      </c>
      <c r="X31" s="38">
        <f t="shared" si="2"/>
        <v>51.7</v>
      </c>
      <c r="Y31" s="75">
        <f t="shared" si="3"/>
        <v>43.866666666666667</v>
      </c>
      <c r="Z31" s="164">
        <f t="shared" si="4"/>
        <v>21.933333333333334</v>
      </c>
      <c r="AA31" s="173">
        <v>46132</v>
      </c>
      <c r="AB31" s="173">
        <v>46142</v>
      </c>
      <c r="AC31" s="173">
        <v>46143</v>
      </c>
      <c r="AD31" s="173">
        <v>46153</v>
      </c>
      <c r="AE31" s="192">
        <f t="shared" si="5"/>
        <v>0</v>
      </c>
      <c r="AF31" s="192">
        <f t="shared" si="6"/>
        <v>0</v>
      </c>
      <c r="AG31" s="192">
        <f t="shared" si="7"/>
        <v>2.1933333333333334</v>
      </c>
      <c r="AH31" s="192">
        <f t="shared" si="8"/>
        <v>8.5503030303030325</v>
      </c>
      <c r="AI31" s="265">
        <f t="shared" si="9"/>
        <v>0.5</v>
      </c>
      <c r="AJ31" s="192">
        <f t="shared" si="10"/>
        <v>3.2063636363636365</v>
      </c>
      <c r="AK31" s="265">
        <f t="shared" si="11"/>
        <v>3.29</v>
      </c>
      <c r="AL31" s="192">
        <f t="shared" si="12"/>
        <v>0</v>
      </c>
      <c r="AM31" s="192">
        <f t="shared" si="13"/>
        <v>0</v>
      </c>
      <c r="AN31" s="192">
        <f t="shared" si="14"/>
        <v>2.1933333333333334</v>
      </c>
      <c r="AO31" s="192">
        <f t="shared" si="15"/>
        <v>2</v>
      </c>
    </row>
    <row r="32" spans="1:43" ht="18" customHeight="1">
      <c r="A32" s="80">
        <f t="shared" si="16"/>
        <v>29</v>
      </c>
      <c r="B32" s="311"/>
      <c r="C32" s="66" t="s">
        <v>220</v>
      </c>
      <c r="D32" s="97" t="s">
        <v>221</v>
      </c>
      <c r="E32" s="230"/>
      <c r="F32" s="81" t="s">
        <v>176</v>
      </c>
      <c r="G32" s="85"/>
      <c r="H32" s="66"/>
      <c r="I32" s="66"/>
      <c r="J32" s="66"/>
      <c r="K32" s="66"/>
      <c r="L32" s="66"/>
      <c r="M32" s="277"/>
      <c r="N32" s="277"/>
      <c r="O32" s="277">
        <v>1</v>
      </c>
      <c r="P32" s="277">
        <v>2</v>
      </c>
      <c r="Q32" s="277">
        <v>2</v>
      </c>
      <c r="R32" s="277"/>
      <c r="S32" s="277">
        <v>1</v>
      </c>
      <c r="T32" s="277">
        <v>2</v>
      </c>
      <c r="U32" s="277"/>
      <c r="V32" s="74">
        <f t="shared" si="0"/>
        <v>8</v>
      </c>
      <c r="W32" s="38">
        <f t="shared" si="1"/>
        <v>4</v>
      </c>
      <c r="X32" s="38">
        <f t="shared" si="2"/>
        <v>8.8000000000000007</v>
      </c>
      <c r="Y32" s="75">
        <f t="shared" si="3"/>
        <v>7.4666666666666659</v>
      </c>
      <c r="Z32" s="164">
        <f t="shared" si="4"/>
        <v>3.7333333333333329</v>
      </c>
      <c r="AA32" s="174"/>
      <c r="AB32" s="174"/>
      <c r="AC32" s="174"/>
      <c r="AD32" s="175"/>
      <c r="AE32" s="192">
        <f t="shared" si="5"/>
        <v>0</v>
      </c>
      <c r="AF32" s="192">
        <f t="shared" si="6"/>
        <v>0</v>
      </c>
      <c r="AG32" s="192">
        <f t="shared" si="7"/>
        <v>0.37333333333333329</v>
      </c>
      <c r="AH32" s="192">
        <f t="shared" si="8"/>
        <v>1.2654545454545452</v>
      </c>
      <c r="AI32" s="265">
        <f t="shared" si="9"/>
        <v>0.5</v>
      </c>
      <c r="AJ32" s="192">
        <f t="shared" si="10"/>
        <v>0.47454545454545433</v>
      </c>
      <c r="AK32" s="265">
        <f t="shared" si="11"/>
        <v>0.55999999999999994</v>
      </c>
      <c r="AL32" s="192">
        <f t="shared" si="12"/>
        <v>0</v>
      </c>
      <c r="AM32" s="192">
        <f t="shared" si="13"/>
        <v>0.18666666666666665</v>
      </c>
      <c r="AN32" s="192">
        <f t="shared" si="14"/>
        <v>0.37333333333333329</v>
      </c>
      <c r="AO32" s="192">
        <f t="shared" si="15"/>
        <v>0</v>
      </c>
    </row>
    <row r="33" spans="1:41" ht="18" hidden="1" customHeight="1">
      <c r="A33" s="80">
        <f t="shared" si="16"/>
        <v>30</v>
      </c>
      <c r="B33" s="311"/>
      <c r="C33" s="66" t="s">
        <v>222</v>
      </c>
      <c r="D33" s="88" t="s">
        <v>223</v>
      </c>
      <c r="E33" s="236" t="s">
        <v>224</v>
      </c>
      <c r="F33" s="81" t="s">
        <v>65</v>
      </c>
      <c r="G33" s="85"/>
      <c r="H33" s="66"/>
      <c r="I33" s="66"/>
      <c r="J33" s="66"/>
      <c r="K33" s="66"/>
      <c r="L33" s="66"/>
      <c r="M33" s="277"/>
      <c r="N33" s="277"/>
      <c r="O33" s="277">
        <v>3</v>
      </c>
      <c r="P33" s="277">
        <v>10</v>
      </c>
      <c r="Q33" s="277">
        <v>10</v>
      </c>
      <c r="R33" s="277"/>
      <c r="S33" s="277"/>
      <c r="T33" s="277">
        <v>2</v>
      </c>
      <c r="U33" s="277">
        <v>1</v>
      </c>
      <c r="V33" s="74">
        <f t="shared" si="0"/>
        <v>26</v>
      </c>
      <c r="W33" s="38">
        <f t="shared" si="1"/>
        <v>13</v>
      </c>
      <c r="X33" s="38">
        <f t="shared" si="2"/>
        <v>28.6</v>
      </c>
      <c r="Y33" s="75">
        <f t="shared" si="3"/>
        <v>24.266666666666666</v>
      </c>
      <c r="Z33" s="164">
        <f t="shared" si="4"/>
        <v>12.133333333333333</v>
      </c>
      <c r="AA33" s="173">
        <v>46146</v>
      </c>
      <c r="AB33" s="173">
        <v>46153</v>
      </c>
      <c r="AC33" s="173">
        <v>46154</v>
      </c>
      <c r="AD33" s="173">
        <v>46160</v>
      </c>
      <c r="AE33" s="192">
        <f t="shared" si="5"/>
        <v>0</v>
      </c>
      <c r="AF33" s="192">
        <f t="shared" si="6"/>
        <v>0</v>
      </c>
      <c r="AG33" s="192">
        <f t="shared" si="7"/>
        <v>1.2133333333333334</v>
      </c>
      <c r="AH33" s="192">
        <f t="shared" si="8"/>
        <v>4.6448484848484846</v>
      </c>
      <c r="AI33" s="265">
        <f t="shared" si="9"/>
        <v>0.5</v>
      </c>
      <c r="AJ33" s="192">
        <f t="shared" si="10"/>
        <v>1.7418181818181817</v>
      </c>
      <c r="AK33" s="265">
        <f t="shared" si="11"/>
        <v>1.8199999999999998</v>
      </c>
      <c r="AL33" s="192">
        <f t="shared" si="12"/>
        <v>0</v>
      </c>
      <c r="AM33" s="192">
        <f t="shared" si="13"/>
        <v>0</v>
      </c>
      <c r="AN33" s="192">
        <f t="shared" si="14"/>
        <v>1.2133333333333334</v>
      </c>
      <c r="AO33" s="192">
        <f t="shared" si="15"/>
        <v>1</v>
      </c>
    </row>
    <row r="34" spans="1:41" ht="18" hidden="1" customHeight="1">
      <c r="A34" s="80">
        <f t="shared" si="16"/>
        <v>31</v>
      </c>
      <c r="B34" s="312"/>
      <c r="C34" s="66" t="s">
        <v>225</v>
      </c>
      <c r="D34" s="87" t="s">
        <v>226</v>
      </c>
      <c r="E34" s="236" t="s">
        <v>227</v>
      </c>
      <c r="F34" s="81" t="s">
        <v>156</v>
      </c>
      <c r="G34" s="85"/>
      <c r="H34" s="66"/>
      <c r="I34" s="66"/>
      <c r="J34" s="66"/>
      <c r="K34" s="66"/>
      <c r="L34" s="66"/>
      <c r="M34" s="277"/>
      <c r="N34" s="277"/>
      <c r="O34" s="277">
        <f>5+2</f>
        <v>7</v>
      </c>
      <c r="P34" s="277">
        <f>10+5</f>
        <v>15</v>
      </c>
      <c r="Q34" s="277">
        <v>5</v>
      </c>
      <c r="R34" s="277"/>
      <c r="S34" s="277">
        <v>3</v>
      </c>
      <c r="T34" s="277">
        <v>3</v>
      </c>
      <c r="U34" s="277"/>
      <c r="V34" s="74">
        <f t="shared" si="0"/>
        <v>33</v>
      </c>
      <c r="W34" s="38">
        <f t="shared" si="1"/>
        <v>16.5</v>
      </c>
      <c r="X34" s="38">
        <f t="shared" si="2"/>
        <v>36.299999999999997</v>
      </c>
      <c r="Y34" s="75">
        <f t="shared" si="3"/>
        <v>30.8</v>
      </c>
      <c r="Z34" s="164">
        <f t="shared" si="4"/>
        <v>15.4</v>
      </c>
      <c r="AA34" s="173">
        <v>46120</v>
      </c>
      <c r="AB34" s="173">
        <v>46134</v>
      </c>
      <c r="AC34" s="173">
        <v>46146</v>
      </c>
      <c r="AD34" s="173">
        <v>46148</v>
      </c>
      <c r="AE34" s="192">
        <f t="shared" si="5"/>
        <v>0</v>
      </c>
      <c r="AF34" s="192">
        <f t="shared" si="6"/>
        <v>0</v>
      </c>
      <c r="AG34" s="192">
        <f t="shared" si="7"/>
        <v>1.54</v>
      </c>
      <c r="AH34" s="192">
        <f t="shared" si="8"/>
        <v>6.3563636363636347</v>
      </c>
      <c r="AI34" s="265">
        <f t="shared" si="9"/>
        <v>0.5</v>
      </c>
      <c r="AJ34" s="192">
        <f t="shared" si="10"/>
        <v>2.3836363636363629</v>
      </c>
      <c r="AK34" s="265">
        <f t="shared" si="11"/>
        <v>2.31</v>
      </c>
      <c r="AL34" s="192">
        <f t="shared" si="12"/>
        <v>0</v>
      </c>
      <c r="AM34" s="192">
        <f t="shared" si="13"/>
        <v>0.77</v>
      </c>
      <c r="AN34" s="192">
        <f t="shared" si="14"/>
        <v>1.54</v>
      </c>
      <c r="AO34" s="192">
        <f t="shared" si="15"/>
        <v>0</v>
      </c>
    </row>
    <row r="35" spans="1:41" ht="18" hidden="1" customHeight="1">
      <c r="A35" s="80">
        <f t="shared" si="16"/>
        <v>32</v>
      </c>
      <c r="B35" s="66" t="s">
        <v>228</v>
      </c>
      <c r="C35" s="66" t="s">
        <v>228</v>
      </c>
      <c r="D35" s="87" t="s">
        <v>229</v>
      </c>
      <c r="E35" s="231"/>
      <c r="F35" s="81"/>
      <c r="G35" s="85"/>
      <c r="H35" s="66"/>
      <c r="I35" s="66"/>
      <c r="J35" s="66"/>
      <c r="K35" s="66"/>
      <c r="L35" s="66"/>
      <c r="M35" s="277"/>
      <c r="N35" s="277"/>
      <c r="O35" s="277"/>
      <c r="P35" s="277"/>
      <c r="Q35" s="277"/>
      <c r="R35" s="277"/>
      <c r="S35" s="277"/>
      <c r="T35" s="277"/>
      <c r="U35" s="277"/>
      <c r="V35" s="74">
        <f t="shared" ref="V35:V66" si="17">SUM(M35:U35)</f>
        <v>0</v>
      </c>
      <c r="W35" s="38">
        <f t="shared" ref="W35:W66" si="18">V35 - (V35 * (SUBSTITUTE(SUBSTITUTE($W$2, "Optimistic (", ""), "%)", "") / 100))</f>
        <v>0</v>
      </c>
      <c r="X35" s="38">
        <f t="shared" ref="X35:X55" si="19">V35 + (V35 * (SUBSTITUTE(SUBSTITUTE($X$2, "Pessimistic (", ""), "%)", "") / 100))</f>
        <v>0</v>
      </c>
      <c r="Y35" s="75">
        <f t="shared" ref="Y35:Y66" si="20">(W35+(4*V35)+X35)/6</f>
        <v>0</v>
      </c>
      <c r="Z35" s="164">
        <f t="shared" ref="Z35:Z66" si="21">Y35/2</f>
        <v>0</v>
      </c>
      <c r="AA35" s="174"/>
      <c r="AB35" s="174"/>
      <c r="AC35" s="174"/>
      <c r="AD35" s="175"/>
      <c r="AE35" s="192">
        <f t="shared" ref="AE35:AE55" si="22">IF($Z35="",0,IF($M35="",0,$M35))</f>
        <v>0</v>
      </c>
      <c r="AF35" s="192">
        <f t="shared" ref="AF35:AF55" si="23">IF(OR($Z35="",$N35=""),0,$Z35*5%)</f>
        <v>0</v>
      </c>
      <c r="AG35" s="192">
        <f t="shared" ref="AG35:AG60" si="24">IF(OR($Z35="",$O35=""),0,$Z35*10%)</f>
        <v>0</v>
      </c>
      <c r="AH35" s="192">
        <f t="shared" ref="AH35:AH60" si="25">IF($Z35="",0,IF(AND($P35="",$Q35=""),($Z35-$AE35-$AF35-$AG35-$AI35-$AK35-$AL35-$AM35-$AN35-$AO35),IF($P35="",0,IF($Q35="",($Z35-$AE35-$AF35-$AG35-$AI35-$AK35-$AL35-$AM35-$AN35-$AO35),($Z35-$AE35-$AF35-$AG35-$AI35-$AK35-$AL35-$AM35-$AN35-$AO35)*40%/(40%+15%)))))</f>
        <v>0</v>
      </c>
      <c r="AI35" s="265">
        <f t="shared" ref="AI35:AI60" si="26">IF($Z35="",0,IF($P35="",0,0.5))</f>
        <v>0</v>
      </c>
      <c r="AJ35" s="192">
        <f t="shared" ref="AJ35:AJ60" si="27">IF($Z35="",0,IF(AND($P35="",$Q35=""),0,IF($Q35="",0,IF($P35="",($Z35-$AE35-$AF35-$AG35-$AI35-$AK35-$AL35-$AM35-$AN35-$AO35),($Z35-$AE35-$AF35-$AG35-$AI35-$AK35-$AL35-$AM35-$AN35-$AO35)*15%/(40%+15%)))))</f>
        <v>0</v>
      </c>
      <c r="AK35" s="265">
        <f t="shared" ref="AK35:AK60" si="28">IF($Z35="",0,$Z35*15%)</f>
        <v>0</v>
      </c>
      <c r="AL35" s="192">
        <f t="shared" ref="AL35:AL60" si="29">IF($Z35="",0,IF($R35="",0,$R35))</f>
        <v>0</v>
      </c>
      <c r="AM35" s="192">
        <f t="shared" ref="AM35:AM60" si="30">IF(OR($Z35="",$S35=""),0,$Z35*5%)</f>
        <v>0</v>
      </c>
      <c r="AN35" s="192">
        <f t="shared" ref="AN35:AN60" si="31">IF(OR($Z35="",$T35=""),0,$Z35*10%)</f>
        <v>0</v>
      </c>
      <c r="AO35" s="192">
        <f t="shared" ref="AO35:AO60" si="32">IF($Z35="",0,IF($U35="",0,$U35))</f>
        <v>0</v>
      </c>
    </row>
    <row r="36" spans="1:41" ht="18" customHeight="1">
      <c r="A36" s="80">
        <f t="shared" si="16"/>
        <v>33</v>
      </c>
      <c r="B36" s="66" t="s">
        <v>230</v>
      </c>
      <c r="C36" s="66" t="s">
        <v>230</v>
      </c>
      <c r="D36" s="96" t="s">
        <v>231</v>
      </c>
      <c r="E36" s="237" t="s">
        <v>232</v>
      </c>
      <c r="F36" s="82" t="s">
        <v>176</v>
      </c>
      <c r="G36" s="85"/>
      <c r="H36" s="66"/>
      <c r="I36" s="66"/>
      <c r="J36" s="66"/>
      <c r="K36" s="66"/>
      <c r="L36" s="66"/>
      <c r="M36" s="66"/>
      <c r="N36" s="66"/>
      <c r="O36" s="77">
        <v>5</v>
      </c>
      <c r="P36" s="77">
        <v>35</v>
      </c>
      <c r="Q36" s="77">
        <v>5</v>
      </c>
      <c r="R36" s="66"/>
      <c r="S36" s="66">
        <v>5</v>
      </c>
      <c r="T36" s="66"/>
      <c r="U36" s="66">
        <v>2</v>
      </c>
      <c r="V36" s="74">
        <f t="shared" si="17"/>
        <v>52</v>
      </c>
      <c r="W36" s="38">
        <f t="shared" si="18"/>
        <v>26</v>
      </c>
      <c r="X36" s="38">
        <f t="shared" si="19"/>
        <v>57.2</v>
      </c>
      <c r="Y36" s="75">
        <f t="shared" si="20"/>
        <v>48.533333333333331</v>
      </c>
      <c r="Z36" s="164">
        <f t="shared" si="21"/>
        <v>24.266666666666666</v>
      </c>
      <c r="AA36" s="173">
        <v>46120</v>
      </c>
      <c r="AB36" s="173">
        <v>46129</v>
      </c>
      <c r="AC36" s="173">
        <v>46146</v>
      </c>
      <c r="AD36" s="173">
        <v>46148</v>
      </c>
      <c r="AE36" s="192">
        <f t="shared" si="22"/>
        <v>0</v>
      </c>
      <c r="AF36" s="192">
        <f t="shared" si="23"/>
        <v>0</v>
      </c>
      <c r="AG36" s="192">
        <f t="shared" si="24"/>
        <v>2.4266666666666667</v>
      </c>
      <c r="AH36" s="192">
        <f t="shared" si="25"/>
        <v>10.535757575757573</v>
      </c>
      <c r="AI36" s="265">
        <f t="shared" si="26"/>
        <v>0.5</v>
      </c>
      <c r="AJ36" s="192">
        <f t="shared" si="27"/>
        <v>3.9509090909090898</v>
      </c>
      <c r="AK36" s="265">
        <f t="shared" si="28"/>
        <v>3.6399999999999997</v>
      </c>
      <c r="AL36" s="192">
        <f t="shared" si="29"/>
        <v>0</v>
      </c>
      <c r="AM36" s="192">
        <f t="shared" si="30"/>
        <v>1.2133333333333334</v>
      </c>
      <c r="AN36" s="192">
        <f t="shared" si="31"/>
        <v>0</v>
      </c>
      <c r="AO36" s="192">
        <f t="shared" si="32"/>
        <v>2</v>
      </c>
    </row>
    <row r="37" spans="1:41" ht="18" customHeight="1">
      <c r="A37" s="80">
        <f t="shared" si="16"/>
        <v>34</v>
      </c>
      <c r="B37" s="66" t="s">
        <v>230</v>
      </c>
      <c r="C37" s="66" t="s">
        <v>230</v>
      </c>
      <c r="D37" s="91" t="s">
        <v>233</v>
      </c>
      <c r="E37" s="244" t="s">
        <v>234</v>
      </c>
      <c r="F37" s="82" t="s">
        <v>176</v>
      </c>
      <c r="G37" s="85"/>
      <c r="H37" s="66"/>
      <c r="I37" s="66"/>
      <c r="J37" s="66"/>
      <c r="K37" s="66"/>
      <c r="L37" s="66"/>
      <c r="M37" s="66"/>
      <c r="N37" s="66"/>
      <c r="O37" s="77">
        <v>3</v>
      </c>
      <c r="P37" s="77">
        <v>3</v>
      </c>
      <c r="Q37" s="77">
        <v>2</v>
      </c>
      <c r="R37" s="66"/>
      <c r="S37" s="66">
        <v>5</v>
      </c>
      <c r="T37" s="66"/>
      <c r="U37" s="66">
        <v>2</v>
      </c>
      <c r="V37" s="74">
        <f t="shared" si="17"/>
        <v>15</v>
      </c>
      <c r="W37" s="38">
        <f t="shared" si="18"/>
        <v>7.5</v>
      </c>
      <c r="X37" s="38">
        <f t="shared" si="19"/>
        <v>16.5</v>
      </c>
      <c r="Y37" s="75">
        <f t="shared" si="20"/>
        <v>14</v>
      </c>
      <c r="Z37" s="164">
        <f t="shared" si="21"/>
        <v>7</v>
      </c>
      <c r="AA37" s="174"/>
      <c r="AB37" s="174"/>
      <c r="AC37" s="174"/>
      <c r="AD37" s="175"/>
      <c r="AE37" s="192">
        <f t="shared" si="22"/>
        <v>0</v>
      </c>
      <c r="AF37" s="192">
        <f t="shared" si="23"/>
        <v>0</v>
      </c>
      <c r="AG37" s="192">
        <f t="shared" si="24"/>
        <v>0.70000000000000007</v>
      </c>
      <c r="AH37" s="192">
        <f t="shared" si="25"/>
        <v>1.7454545454545456</v>
      </c>
      <c r="AI37" s="265">
        <f t="shared" si="26"/>
        <v>0.5</v>
      </c>
      <c r="AJ37" s="192">
        <f t="shared" si="27"/>
        <v>0.65454545454545454</v>
      </c>
      <c r="AK37" s="265">
        <f t="shared" si="28"/>
        <v>1.05</v>
      </c>
      <c r="AL37" s="192">
        <f t="shared" si="29"/>
        <v>0</v>
      </c>
      <c r="AM37" s="192">
        <f t="shared" si="30"/>
        <v>0.35000000000000003</v>
      </c>
      <c r="AN37" s="192">
        <f t="shared" si="31"/>
        <v>0</v>
      </c>
      <c r="AO37" s="192">
        <f t="shared" si="32"/>
        <v>2</v>
      </c>
    </row>
    <row r="38" spans="1:41" ht="198" customHeight="1">
      <c r="A38" s="80">
        <f t="shared" si="16"/>
        <v>35</v>
      </c>
      <c r="B38" s="66" t="s">
        <v>230</v>
      </c>
      <c r="C38" s="66" t="s">
        <v>230</v>
      </c>
      <c r="D38" s="92" t="s">
        <v>235</v>
      </c>
      <c r="E38" s="232"/>
      <c r="F38" s="82" t="s">
        <v>176</v>
      </c>
      <c r="G38" s="85"/>
      <c r="H38" s="66"/>
      <c r="I38" s="66"/>
      <c r="J38" s="66"/>
      <c r="K38" s="66"/>
      <c r="L38" s="66"/>
      <c r="M38" s="66"/>
      <c r="N38" s="66"/>
      <c r="O38" s="77">
        <v>4</v>
      </c>
      <c r="P38" s="77">
        <v>10</v>
      </c>
      <c r="Q38" s="77">
        <v>5</v>
      </c>
      <c r="R38" s="66"/>
      <c r="S38" s="66">
        <v>5</v>
      </c>
      <c r="T38" s="66"/>
      <c r="U38" s="66">
        <v>2</v>
      </c>
      <c r="V38" s="74">
        <f t="shared" si="17"/>
        <v>26</v>
      </c>
      <c r="W38" s="38">
        <f t="shared" si="18"/>
        <v>13</v>
      </c>
      <c r="X38" s="38">
        <f t="shared" si="19"/>
        <v>28.6</v>
      </c>
      <c r="Y38" s="75">
        <f t="shared" si="20"/>
        <v>24.266666666666666</v>
      </c>
      <c r="Z38" s="164">
        <f t="shared" si="21"/>
        <v>12.133333333333333</v>
      </c>
      <c r="AA38" s="174"/>
      <c r="AB38" s="174"/>
      <c r="AC38" s="174"/>
      <c r="AD38" s="175"/>
      <c r="AE38" s="192">
        <f t="shared" si="22"/>
        <v>0</v>
      </c>
      <c r="AF38" s="192">
        <f t="shared" si="23"/>
        <v>0</v>
      </c>
      <c r="AG38" s="192">
        <f t="shared" si="24"/>
        <v>1.2133333333333334</v>
      </c>
      <c r="AH38" s="192">
        <f t="shared" si="25"/>
        <v>4.3587878787878784</v>
      </c>
      <c r="AI38" s="265">
        <f t="shared" si="26"/>
        <v>0.5</v>
      </c>
      <c r="AJ38" s="192">
        <f t="shared" si="27"/>
        <v>1.6345454545454543</v>
      </c>
      <c r="AK38" s="265">
        <f t="shared" si="28"/>
        <v>1.8199999999999998</v>
      </c>
      <c r="AL38" s="192">
        <f t="shared" si="29"/>
        <v>0</v>
      </c>
      <c r="AM38" s="192">
        <f t="shared" si="30"/>
        <v>0.60666666666666669</v>
      </c>
      <c r="AN38" s="192">
        <f t="shared" si="31"/>
        <v>0</v>
      </c>
      <c r="AO38" s="192">
        <f t="shared" si="32"/>
        <v>2</v>
      </c>
    </row>
    <row r="39" spans="1:41" ht="18" customHeight="1">
      <c r="A39" s="80">
        <f t="shared" ref="A39:A55" si="33">IF(D39="","",A38+1)</f>
        <v>36</v>
      </c>
      <c r="B39" s="66" t="s">
        <v>230</v>
      </c>
      <c r="C39" s="66" t="s">
        <v>230</v>
      </c>
      <c r="D39" s="93" t="s">
        <v>236</v>
      </c>
      <c r="E39" s="233"/>
      <c r="F39" s="82" t="s">
        <v>176</v>
      </c>
      <c r="G39" s="85"/>
      <c r="H39" s="66"/>
      <c r="I39" s="66"/>
      <c r="J39" s="66"/>
      <c r="K39" s="66"/>
      <c r="L39" s="66"/>
      <c r="M39" s="66"/>
      <c r="N39" s="66"/>
      <c r="O39" s="77">
        <v>4</v>
      </c>
      <c r="P39" s="77">
        <v>4</v>
      </c>
      <c r="Q39" s="77">
        <v>3</v>
      </c>
      <c r="R39" s="66"/>
      <c r="S39" s="66">
        <v>5</v>
      </c>
      <c r="T39" s="66"/>
      <c r="U39" s="66">
        <v>2</v>
      </c>
      <c r="V39" s="74">
        <f t="shared" si="17"/>
        <v>18</v>
      </c>
      <c r="W39" s="38">
        <f t="shared" si="18"/>
        <v>9</v>
      </c>
      <c r="X39" s="38">
        <f t="shared" si="19"/>
        <v>19.8</v>
      </c>
      <c r="Y39" s="75">
        <f t="shared" si="20"/>
        <v>16.8</v>
      </c>
      <c r="Z39" s="164">
        <f t="shared" si="21"/>
        <v>8.4</v>
      </c>
      <c r="AA39" s="174"/>
      <c r="AB39" s="174"/>
      <c r="AC39" s="174"/>
      <c r="AD39" s="175"/>
      <c r="AE39" s="192">
        <f t="shared" si="22"/>
        <v>0</v>
      </c>
      <c r="AF39" s="192">
        <f t="shared" si="23"/>
        <v>0</v>
      </c>
      <c r="AG39" s="192">
        <f t="shared" si="24"/>
        <v>0.84000000000000008</v>
      </c>
      <c r="AH39" s="192">
        <f t="shared" si="25"/>
        <v>2.4581818181818185</v>
      </c>
      <c r="AI39" s="265">
        <f t="shared" si="26"/>
        <v>0.5</v>
      </c>
      <c r="AJ39" s="192">
        <f t="shared" si="27"/>
        <v>0.92181818181818198</v>
      </c>
      <c r="AK39" s="265">
        <f t="shared" si="28"/>
        <v>1.26</v>
      </c>
      <c r="AL39" s="192">
        <f t="shared" si="29"/>
        <v>0</v>
      </c>
      <c r="AM39" s="192">
        <f t="shared" si="30"/>
        <v>0.42000000000000004</v>
      </c>
      <c r="AN39" s="192">
        <f t="shared" si="31"/>
        <v>0</v>
      </c>
      <c r="AO39" s="192">
        <f t="shared" si="32"/>
        <v>2</v>
      </c>
    </row>
    <row r="40" spans="1:41" ht="18" customHeight="1">
      <c r="A40" s="80">
        <f t="shared" si="33"/>
        <v>37</v>
      </c>
      <c r="B40" s="66" t="s">
        <v>230</v>
      </c>
      <c r="C40" s="66" t="s">
        <v>230</v>
      </c>
      <c r="D40" s="93" t="s">
        <v>237</v>
      </c>
      <c r="E40" s="233"/>
      <c r="F40" s="82" t="s">
        <v>176</v>
      </c>
      <c r="G40" s="85"/>
      <c r="H40" s="66"/>
      <c r="I40" s="66"/>
      <c r="J40" s="66"/>
      <c r="K40" s="66"/>
      <c r="L40" s="66"/>
      <c r="M40" s="66"/>
      <c r="N40" s="66"/>
      <c r="O40" s="77">
        <v>0</v>
      </c>
      <c r="P40" s="77">
        <v>2</v>
      </c>
      <c r="Q40" s="77">
        <v>2</v>
      </c>
      <c r="R40" s="66"/>
      <c r="S40" s="66">
        <v>5</v>
      </c>
      <c r="T40" s="66"/>
      <c r="U40" s="66">
        <v>2</v>
      </c>
      <c r="V40" s="74">
        <f t="shared" si="17"/>
        <v>11</v>
      </c>
      <c r="W40" s="38">
        <f t="shared" si="18"/>
        <v>5.5</v>
      </c>
      <c r="X40" s="38">
        <f t="shared" si="19"/>
        <v>12.1</v>
      </c>
      <c r="Y40" s="75">
        <f t="shared" si="20"/>
        <v>10.266666666666667</v>
      </c>
      <c r="Z40" s="164">
        <f t="shared" si="21"/>
        <v>5.1333333333333337</v>
      </c>
      <c r="AA40" s="174"/>
      <c r="AB40" s="174"/>
      <c r="AC40" s="174"/>
      <c r="AD40" s="175"/>
      <c r="AE40" s="192">
        <f t="shared" si="22"/>
        <v>0</v>
      </c>
      <c r="AF40" s="192">
        <f t="shared" si="23"/>
        <v>0</v>
      </c>
      <c r="AG40" s="192">
        <f t="shared" si="24"/>
        <v>0.51333333333333342</v>
      </c>
      <c r="AH40" s="192">
        <f t="shared" si="25"/>
        <v>0.79515151515151516</v>
      </c>
      <c r="AI40" s="265">
        <f t="shared" si="26"/>
        <v>0.5</v>
      </c>
      <c r="AJ40" s="192">
        <f t="shared" si="27"/>
        <v>0.2981818181818181</v>
      </c>
      <c r="AK40" s="265">
        <f t="shared" si="28"/>
        <v>0.77</v>
      </c>
      <c r="AL40" s="192">
        <f t="shared" si="29"/>
        <v>0</v>
      </c>
      <c r="AM40" s="192">
        <f t="shared" si="30"/>
        <v>0.25666666666666671</v>
      </c>
      <c r="AN40" s="192">
        <f t="shared" si="31"/>
        <v>0</v>
      </c>
      <c r="AO40" s="192">
        <f t="shared" si="32"/>
        <v>2</v>
      </c>
    </row>
    <row r="41" spans="1:41" ht="18" customHeight="1">
      <c r="A41" s="80">
        <f t="shared" si="33"/>
        <v>38</v>
      </c>
      <c r="B41" s="66" t="s">
        <v>230</v>
      </c>
      <c r="C41" s="66" t="s">
        <v>230</v>
      </c>
      <c r="D41" s="93" t="s">
        <v>238</v>
      </c>
      <c r="E41" s="233"/>
      <c r="F41" s="82" t="s">
        <v>176</v>
      </c>
      <c r="G41" s="85"/>
      <c r="H41" s="66"/>
      <c r="I41" s="66"/>
      <c r="J41" s="66"/>
      <c r="K41" s="66"/>
      <c r="L41" s="66"/>
      <c r="M41" s="66"/>
      <c r="N41" s="66"/>
      <c r="O41" s="77">
        <v>2</v>
      </c>
      <c r="P41" s="77">
        <v>6</v>
      </c>
      <c r="Q41" s="77">
        <v>3</v>
      </c>
      <c r="R41" s="66"/>
      <c r="S41" s="66">
        <v>5</v>
      </c>
      <c r="T41" s="66"/>
      <c r="U41" s="66">
        <v>2</v>
      </c>
      <c r="V41" s="74">
        <f t="shared" si="17"/>
        <v>18</v>
      </c>
      <c r="W41" s="38">
        <f t="shared" si="18"/>
        <v>9</v>
      </c>
      <c r="X41" s="38">
        <f t="shared" si="19"/>
        <v>19.8</v>
      </c>
      <c r="Y41" s="75">
        <f t="shared" si="20"/>
        <v>16.8</v>
      </c>
      <c r="Z41" s="164">
        <f t="shared" si="21"/>
        <v>8.4</v>
      </c>
      <c r="AA41" s="174"/>
      <c r="AB41" s="174"/>
      <c r="AC41" s="174"/>
      <c r="AD41" s="175"/>
      <c r="AE41" s="192">
        <f t="shared" si="22"/>
        <v>0</v>
      </c>
      <c r="AF41" s="192">
        <f t="shared" si="23"/>
        <v>0</v>
      </c>
      <c r="AG41" s="192">
        <f t="shared" si="24"/>
        <v>0.84000000000000008</v>
      </c>
      <c r="AH41" s="192">
        <f t="shared" si="25"/>
        <v>2.4581818181818185</v>
      </c>
      <c r="AI41" s="265">
        <f t="shared" si="26"/>
        <v>0.5</v>
      </c>
      <c r="AJ41" s="192">
        <f t="shared" si="27"/>
        <v>0.92181818181818198</v>
      </c>
      <c r="AK41" s="265">
        <f t="shared" si="28"/>
        <v>1.26</v>
      </c>
      <c r="AL41" s="192">
        <f t="shared" si="29"/>
        <v>0</v>
      </c>
      <c r="AM41" s="192">
        <f t="shared" si="30"/>
        <v>0.42000000000000004</v>
      </c>
      <c r="AN41" s="192">
        <f t="shared" si="31"/>
        <v>0</v>
      </c>
      <c r="AO41" s="192">
        <f t="shared" si="32"/>
        <v>2</v>
      </c>
    </row>
    <row r="42" spans="1:41" ht="18" customHeight="1">
      <c r="A42" s="80">
        <f t="shared" si="33"/>
        <v>39</v>
      </c>
      <c r="B42" s="66" t="s">
        <v>230</v>
      </c>
      <c r="C42" s="66" t="s">
        <v>230</v>
      </c>
      <c r="D42" s="93" t="s">
        <v>239</v>
      </c>
      <c r="E42" s="233"/>
      <c r="F42" s="82" t="s">
        <v>176</v>
      </c>
      <c r="G42" s="85"/>
      <c r="H42" s="66"/>
      <c r="I42" s="66"/>
      <c r="J42" s="66"/>
      <c r="K42" s="66"/>
      <c r="L42" s="66"/>
      <c r="M42" s="66"/>
      <c r="N42" s="66"/>
      <c r="O42" s="77">
        <v>5</v>
      </c>
      <c r="P42" s="77">
        <v>17</v>
      </c>
      <c r="Q42" s="77">
        <v>5</v>
      </c>
      <c r="R42" s="66"/>
      <c r="S42" s="66">
        <v>5</v>
      </c>
      <c r="T42" s="66"/>
      <c r="U42" s="66">
        <v>2</v>
      </c>
      <c r="V42" s="74">
        <f t="shared" si="17"/>
        <v>34</v>
      </c>
      <c r="W42" s="38">
        <f t="shared" si="18"/>
        <v>17</v>
      </c>
      <c r="X42" s="38">
        <f t="shared" si="19"/>
        <v>37.4</v>
      </c>
      <c r="Y42" s="75">
        <f t="shared" si="20"/>
        <v>31.733333333333334</v>
      </c>
      <c r="Z42" s="164">
        <f t="shared" si="21"/>
        <v>15.866666666666667</v>
      </c>
      <c r="AA42" s="174"/>
      <c r="AB42" s="174"/>
      <c r="AC42" s="174"/>
      <c r="AD42" s="175"/>
      <c r="AE42" s="192">
        <f t="shared" si="22"/>
        <v>0</v>
      </c>
      <c r="AF42" s="192">
        <f t="shared" si="23"/>
        <v>0</v>
      </c>
      <c r="AG42" s="192">
        <f t="shared" si="24"/>
        <v>1.5866666666666669</v>
      </c>
      <c r="AH42" s="192">
        <f t="shared" si="25"/>
        <v>6.2593939393939406</v>
      </c>
      <c r="AI42" s="265">
        <f t="shared" si="26"/>
        <v>0.5</v>
      </c>
      <c r="AJ42" s="192">
        <f t="shared" si="27"/>
        <v>2.3472727272727276</v>
      </c>
      <c r="AK42" s="265">
        <f t="shared" si="28"/>
        <v>2.38</v>
      </c>
      <c r="AL42" s="192">
        <f t="shared" si="29"/>
        <v>0</v>
      </c>
      <c r="AM42" s="192">
        <f t="shared" si="30"/>
        <v>0.79333333333333345</v>
      </c>
      <c r="AN42" s="192">
        <f t="shared" si="31"/>
        <v>0</v>
      </c>
      <c r="AO42" s="192">
        <f t="shared" si="32"/>
        <v>2</v>
      </c>
    </row>
    <row r="43" spans="1:41" ht="18" customHeight="1">
      <c r="A43" s="80">
        <f t="shared" si="33"/>
        <v>40</v>
      </c>
      <c r="B43" s="66" t="s">
        <v>230</v>
      </c>
      <c r="C43" s="66" t="s">
        <v>230</v>
      </c>
      <c r="D43" s="93" t="s">
        <v>240</v>
      </c>
      <c r="E43" s="233"/>
      <c r="F43" s="82" t="s">
        <v>176</v>
      </c>
      <c r="G43" s="85"/>
      <c r="H43" s="66"/>
      <c r="I43" s="66"/>
      <c r="J43" s="66"/>
      <c r="K43" s="66"/>
      <c r="L43" s="66"/>
      <c r="M43" s="66"/>
      <c r="N43" s="66"/>
      <c r="O43" s="77">
        <v>3</v>
      </c>
      <c r="P43" s="77">
        <v>23</v>
      </c>
      <c r="Q43" s="77">
        <v>5</v>
      </c>
      <c r="R43" s="66"/>
      <c r="S43" s="66">
        <v>5</v>
      </c>
      <c r="T43" s="66"/>
      <c r="U43" s="66">
        <v>2</v>
      </c>
      <c r="V43" s="74">
        <f t="shared" si="17"/>
        <v>38</v>
      </c>
      <c r="W43" s="38">
        <f t="shared" si="18"/>
        <v>19</v>
      </c>
      <c r="X43" s="38">
        <f t="shared" si="19"/>
        <v>41.8</v>
      </c>
      <c r="Y43" s="75">
        <f t="shared" si="20"/>
        <v>35.466666666666669</v>
      </c>
      <c r="Z43" s="164">
        <f t="shared" si="21"/>
        <v>17.733333333333334</v>
      </c>
      <c r="AA43" s="174"/>
      <c r="AB43" s="174"/>
      <c r="AC43" s="174"/>
      <c r="AD43" s="175"/>
      <c r="AE43" s="192">
        <f t="shared" si="22"/>
        <v>0</v>
      </c>
      <c r="AF43" s="192">
        <f t="shared" si="23"/>
        <v>0</v>
      </c>
      <c r="AG43" s="192">
        <f t="shared" si="24"/>
        <v>1.7733333333333334</v>
      </c>
      <c r="AH43" s="192">
        <f t="shared" si="25"/>
        <v>7.2096969696969699</v>
      </c>
      <c r="AI43" s="265">
        <f t="shared" si="26"/>
        <v>0.5</v>
      </c>
      <c r="AJ43" s="192">
        <f t="shared" si="27"/>
        <v>2.7036363636363636</v>
      </c>
      <c r="AK43" s="265">
        <f t="shared" si="28"/>
        <v>2.66</v>
      </c>
      <c r="AL43" s="192">
        <f t="shared" si="29"/>
        <v>0</v>
      </c>
      <c r="AM43" s="192">
        <f t="shared" si="30"/>
        <v>0.88666666666666671</v>
      </c>
      <c r="AN43" s="192">
        <f t="shared" si="31"/>
        <v>0</v>
      </c>
      <c r="AO43" s="192">
        <f t="shared" si="32"/>
        <v>2</v>
      </c>
    </row>
    <row r="44" spans="1:41" ht="18" customHeight="1">
      <c r="A44" s="80">
        <f t="shared" si="33"/>
        <v>41</v>
      </c>
      <c r="B44" s="66" t="s">
        <v>230</v>
      </c>
      <c r="C44" s="66" t="s">
        <v>230</v>
      </c>
      <c r="D44" s="93" t="s">
        <v>241</v>
      </c>
      <c r="E44" s="233"/>
      <c r="F44" s="82" t="s">
        <v>176</v>
      </c>
      <c r="G44" s="85"/>
      <c r="H44" s="66"/>
      <c r="I44" s="66"/>
      <c r="J44" s="66"/>
      <c r="K44" s="66"/>
      <c r="L44" s="66"/>
      <c r="M44" s="66"/>
      <c r="N44" s="66"/>
      <c r="O44" s="77">
        <v>1</v>
      </c>
      <c r="P44" s="77">
        <v>5</v>
      </c>
      <c r="Q44" s="77">
        <v>3</v>
      </c>
      <c r="R44" s="66"/>
      <c r="S44" s="66">
        <v>5</v>
      </c>
      <c r="T44" s="66"/>
      <c r="U44" s="66">
        <v>2</v>
      </c>
      <c r="V44" s="74">
        <f t="shared" si="17"/>
        <v>16</v>
      </c>
      <c r="W44" s="38">
        <f t="shared" si="18"/>
        <v>8</v>
      </c>
      <c r="X44" s="38">
        <f t="shared" si="19"/>
        <v>17.600000000000001</v>
      </c>
      <c r="Y44" s="75">
        <f t="shared" si="20"/>
        <v>14.933333333333332</v>
      </c>
      <c r="Z44" s="164">
        <f t="shared" si="21"/>
        <v>7.4666666666666659</v>
      </c>
      <c r="AA44" s="174"/>
      <c r="AB44" s="174"/>
      <c r="AC44" s="174"/>
      <c r="AD44" s="175"/>
      <c r="AE44" s="192">
        <f t="shared" si="22"/>
        <v>0</v>
      </c>
      <c r="AF44" s="192">
        <f t="shared" si="23"/>
        <v>0</v>
      </c>
      <c r="AG44" s="192">
        <f t="shared" si="24"/>
        <v>0.74666666666666659</v>
      </c>
      <c r="AH44" s="192">
        <f t="shared" si="25"/>
        <v>1.983030303030302</v>
      </c>
      <c r="AI44" s="265">
        <f t="shared" si="26"/>
        <v>0.5</v>
      </c>
      <c r="AJ44" s="192">
        <f t="shared" si="27"/>
        <v>0.74363636363636332</v>
      </c>
      <c r="AK44" s="265">
        <f t="shared" si="28"/>
        <v>1.1199999999999999</v>
      </c>
      <c r="AL44" s="192">
        <f t="shared" si="29"/>
        <v>0</v>
      </c>
      <c r="AM44" s="192">
        <f t="shared" si="30"/>
        <v>0.37333333333333329</v>
      </c>
      <c r="AN44" s="192">
        <f t="shared" si="31"/>
        <v>0</v>
      </c>
      <c r="AO44" s="192">
        <f t="shared" si="32"/>
        <v>2</v>
      </c>
    </row>
    <row r="45" spans="1:41" ht="18" customHeight="1">
      <c r="A45" s="80">
        <f t="shared" si="33"/>
        <v>42</v>
      </c>
      <c r="B45" s="66" t="s">
        <v>230</v>
      </c>
      <c r="C45" s="66" t="s">
        <v>230</v>
      </c>
      <c r="D45" s="93" t="s">
        <v>242</v>
      </c>
      <c r="E45" s="233"/>
      <c r="F45" s="82" t="s">
        <v>176</v>
      </c>
      <c r="G45" s="85"/>
      <c r="H45" s="66"/>
      <c r="I45" s="66"/>
      <c r="J45" s="66"/>
      <c r="K45" s="66"/>
      <c r="L45" s="66"/>
      <c r="M45" s="66"/>
      <c r="N45" s="66"/>
      <c r="O45" s="77">
        <v>0</v>
      </c>
      <c r="P45" s="77">
        <v>2</v>
      </c>
      <c r="Q45" s="77">
        <v>1</v>
      </c>
      <c r="R45" s="66"/>
      <c r="S45" s="66">
        <v>5</v>
      </c>
      <c r="T45" s="66"/>
      <c r="U45" s="66">
        <v>2</v>
      </c>
      <c r="V45" s="74">
        <f t="shared" si="17"/>
        <v>10</v>
      </c>
      <c r="W45" s="38">
        <f t="shared" si="18"/>
        <v>5</v>
      </c>
      <c r="X45" s="38">
        <f t="shared" si="19"/>
        <v>11</v>
      </c>
      <c r="Y45" s="75">
        <f t="shared" si="20"/>
        <v>9.3333333333333339</v>
      </c>
      <c r="Z45" s="164">
        <f t="shared" si="21"/>
        <v>4.666666666666667</v>
      </c>
      <c r="AA45" s="174"/>
      <c r="AB45" s="174"/>
      <c r="AC45" s="174"/>
      <c r="AD45" s="175"/>
      <c r="AE45" s="192">
        <f t="shared" si="22"/>
        <v>0</v>
      </c>
      <c r="AF45" s="192">
        <f t="shared" si="23"/>
        <v>0</v>
      </c>
      <c r="AG45" s="192">
        <f t="shared" si="24"/>
        <v>0.46666666666666673</v>
      </c>
      <c r="AH45" s="192">
        <f t="shared" si="25"/>
        <v>0.5575757575757575</v>
      </c>
      <c r="AI45" s="265">
        <f t="shared" si="26"/>
        <v>0.5</v>
      </c>
      <c r="AJ45" s="192">
        <f t="shared" si="27"/>
        <v>0.20909090909090905</v>
      </c>
      <c r="AK45" s="265">
        <f t="shared" si="28"/>
        <v>0.70000000000000007</v>
      </c>
      <c r="AL45" s="192">
        <f t="shared" si="29"/>
        <v>0</v>
      </c>
      <c r="AM45" s="192">
        <f t="shared" si="30"/>
        <v>0.23333333333333336</v>
      </c>
      <c r="AN45" s="192">
        <f t="shared" si="31"/>
        <v>0</v>
      </c>
      <c r="AO45" s="192">
        <f t="shared" si="32"/>
        <v>2</v>
      </c>
    </row>
    <row r="46" spans="1:41" ht="18" customHeight="1">
      <c r="A46" s="80">
        <f t="shared" si="33"/>
        <v>43</v>
      </c>
      <c r="B46" s="66" t="s">
        <v>230</v>
      </c>
      <c r="C46" s="66" t="s">
        <v>230</v>
      </c>
      <c r="D46" s="93" t="s">
        <v>243</v>
      </c>
      <c r="E46" s="233"/>
      <c r="F46" s="82" t="s">
        <v>176</v>
      </c>
      <c r="G46" s="85"/>
      <c r="H46" s="66"/>
      <c r="I46" s="66"/>
      <c r="J46" s="66"/>
      <c r="K46" s="66"/>
      <c r="L46" s="66"/>
      <c r="M46" s="66"/>
      <c r="N46" s="66"/>
      <c r="O46" s="77">
        <v>0</v>
      </c>
      <c r="P46" s="77">
        <v>1</v>
      </c>
      <c r="Q46" s="77">
        <v>2</v>
      </c>
      <c r="R46" s="66"/>
      <c r="S46" s="66">
        <v>5</v>
      </c>
      <c r="T46" s="66"/>
      <c r="U46" s="66">
        <v>2</v>
      </c>
      <c r="V46" s="74">
        <f t="shared" si="17"/>
        <v>10</v>
      </c>
      <c r="W46" s="38">
        <f t="shared" si="18"/>
        <v>5</v>
      </c>
      <c r="X46" s="38">
        <f t="shared" si="19"/>
        <v>11</v>
      </c>
      <c r="Y46" s="75">
        <f t="shared" si="20"/>
        <v>9.3333333333333339</v>
      </c>
      <c r="Z46" s="164">
        <f t="shared" si="21"/>
        <v>4.666666666666667</v>
      </c>
      <c r="AA46" s="174"/>
      <c r="AB46" s="174"/>
      <c r="AC46" s="174"/>
      <c r="AD46" s="175"/>
      <c r="AE46" s="192">
        <f t="shared" si="22"/>
        <v>0</v>
      </c>
      <c r="AF46" s="192">
        <f t="shared" si="23"/>
        <v>0</v>
      </c>
      <c r="AG46" s="192">
        <f t="shared" si="24"/>
        <v>0.46666666666666673</v>
      </c>
      <c r="AH46" s="192">
        <f t="shared" si="25"/>
        <v>0.5575757575757575</v>
      </c>
      <c r="AI46" s="265">
        <f t="shared" si="26"/>
        <v>0.5</v>
      </c>
      <c r="AJ46" s="192">
        <f t="shared" si="27"/>
        <v>0.20909090909090905</v>
      </c>
      <c r="AK46" s="265">
        <f t="shared" si="28"/>
        <v>0.70000000000000007</v>
      </c>
      <c r="AL46" s="192">
        <f t="shared" si="29"/>
        <v>0</v>
      </c>
      <c r="AM46" s="192">
        <f t="shared" si="30"/>
        <v>0.23333333333333336</v>
      </c>
      <c r="AN46" s="192">
        <f t="shared" si="31"/>
        <v>0</v>
      </c>
      <c r="AO46" s="192">
        <f t="shared" si="32"/>
        <v>2</v>
      </c>
    </row>
    <row r="47" spans="1:41" ht="18" customHeight="1">
      <c r="A47" s="80">
        <f t="shared" si="33"/>
        <v>44</v>
      </c>
      <c r="B47" s="66" t="s">
        <v>230</v>
      </c>
      <c r="C47" s="66" t="s">
        <v>230</v>
      </c>
      <c r="D47" s="93" t="s">
        <v>244</v>
      </c>
      <c r="E47" s="233"/>
      <c r="F47" s="82" t="s">
        <v>176</v>
      </c>
      <c r="G47" s="85"/>
      <c r="H47" s="66"/>
      <c r="I47" s="66"/>
      <c r="J47" s="66"/>
      <c r="K47" s="66"/>
      <c r="L47" s="66"/>
      <c r="M47" s="66"/>
      <c r="N47" s="66"/>
      <c r="O47" s="77">
        <v>3</v>
      </c>
      <c r="P47" s="77">
        <v>15</v>
      </c>
      <c r="Q47" s="77">
        <v>5</v>
      </c>
      <c r="R47" s="66"/>
      <c r="S47" s="66">
        <v>5</v>
      </c>
      <c r="T47" s="66"/>
      <c r="U47" s="66">
        <v>2</v>
      </c>
      <c r="V47" s="74">
        <f t="shared" si="17"/>
        <v>30</v>
      </c>
      <c r="W47" s="38">
        <f t="shared" si="18"/>
        <v>15</v>
      </c>
      <c r="X47" s="38">
        <f t="shared" si="19"/>
        <v>33</v>
      </c>
      <c r="Y47" s="75">
        <f t="shared" si="20"/>
        <v>28</v>
      </c>
      <c r="Z47" s="164">
        <f t="shared" si="21"/>
        <v>14</v>
      </c>
      <c r="AA47" s="174"/>
      <c r="AB47" s="174"/>
      <c r="AC47" s="174"/>
      <c r="AD47" s="175"/>
      <c r="AE47" s="192">
        <f t="shared" si="22"/>
        <v>0</v>
      </c>
      <c r="AF47" s="192">
        <f t="shared" si="23"/>
        <v>0</v>
      </c>
      <c r="AG47" s="192">
        <f t="shared" si="24"/>
        <v>1.4000000000000001</v>
      </c>
      <c r="AH47" s="192">
        <f t="shared" si="25"/>
        <v>5.3090909090909095</v>
      </c>
      <c r="AI47" s="265">
        <f t="shared" si="26"/>
        <v>0.5</v>
      </c>
      <c r="AJ47" s="192">
        <f t="shared" si="27"/>
        <v>1.9909090909090907</v>
      </c>
      <c r="AK47" s="265">
        <f t="shared" si="28"/>
        <v>2.1</v>
      </c>
      <c r="AL47" s="192">
        <f t="shared" si="29"/>
        <v>0</v>
      </c>
      <c r="AM47" s="192">
        <f t="shared" si="30"/>
        <v>0.70000000000000007</v>
      </c>
      <c r="AN47" s="192">
        <f t="shared" si="31"/>
        <v>0</v>
      </c>
      <c r="AO47" s="192">
        <f t="shared" si="32"/>
        <v>2</v>
      </c>
    </row>
    <row r="48" spans="1:41" ht="18" customHeight="1">
      <c r="A48" s="80">
        <f t="shared" si="33"/>
        <v>45</v>
      </c>
      <c r="B48" s="66" t="s">
        <v>230</v>
      </c>
      <c r="C48" s="66" t="s">
        <v>230</v>
      </c>
      <c r="D48" s="93" t="s">
        <v>245</v>
      </c>
      <c r="E48" s="233"/>
      <c r="F48" s="82" t="s">
        <v>176</v>
      </c>
      <c r="G48" s="85"/>
      <c r="H48" s="66"/>
      <c r="I48" s="66"/>
      <c r="J48" s="66"/>
      <c r="K48" s="66"/>
      <c r="L48" s="66"/>
      <c r="M48" s="66"/>
      <c r="N48" s="66"/>
      <c r="O48" s="77">
        <v>0</v>
      </c>
      <c r="P48" s="77">
        <v>3</v>
      </c>
      <c r="Q48" s="77">
        <v>3</v>
      </c>
      <c r="R48" s="66"/>
      <c r="S48" s="66">
        <v>5</v>
      </c>
      <c r="T48" s="66"/>
      <c r="U48" s="66">
        <v>2</v>
      </c>
      <c r="V48" s="74">
        <f t="shared" si="17"/>
        <v>13</v>
      </c>
      <c r="W48" s="38">
        <f t="shared" si="18"/>
        <v>6.5</v>
      </c>
      <c r="X48" s="38">
        <f t="shared" si="19"/>
        <v>14.3</v>
      </c>
      <c r="Y48" s="75">
        <f t="shared" si="20"/>
        <v>12.133333333333333</v>
      </c>
      <c r="Z48" s="164">
        <f t="shared" si="21"/>
        <v>6.0666666666666664</v>
      </c>
      <c r="AA48" s="174"/>
      <c r="AB48" s="174"/>
      <c r="AC48" s="174"/>
      <c r="AD48" s="175"/>
      <c r="AE48" s="192">
        <f t="shared" si="22"/>
        <v>0</v>
      </c>
      <c r="AF48" s="192">
        <f t="shared" si="23"/>
        <v>0</v>
      </c>
      <c r="AG48" s="192">
        <f t="shared" si="24"/>
        <v>0.60666666666666669</v>
      </c>
      <c r="AH48" s="192">
        <f t="shared" si="25"/>
        <v>1.2703030303030303</v>
      </c>
      <c r="AI48" s="265">
        <f t="shared" si="26"/>
        <v>0.5</v>
      </c>
      <c r="AJ48" s="192">
        <f t="shared" si="27"/>
        <v>0.47636363636363627</v>
      </c>
      <c r="AK48" s="265">
        <f t="shared" si="28"/>
        <v>0.90999999999999992</v>
      </c>
      <c r="AL48" s="192">
        <f t="shared" si="29"/>
        <v>0</v>
      </c>
      <c r="AM48" s="192">
        <f t="shared" si="30"/>
        <v>0.30333333333333334</v>
      </c>
      <c r="AN48" s="192">
        <f t="shared" si="31"/>
        <v>0</v>
      </c>
      <c r="AO48" s="192">
        <f t="shared" si="32"/>
        <v>2</v>
      </c>
    </row>
    <row r="49" spans="1:41" ht="18" customHeight="1">
      <c r="A49" s="80">
        <f t="shared" si="33"/>
        <v>46</v>
      </c>
      <c r="B49" s="66" t="s">
        <v>230</v>
      </c>
      <c r="C49" s="66" t="s">
        <v>230</v>
      </c>
      <c r="D49" s="93" t="s">
        <v>246</v>
      </c>
      <c r="E49" s="233"/>
      <c r="F49" s="82" t="s">
        <v>176</v>
      </c>
      <c r="G49" s="85"/>
      <c r="H49" s="66"/>
      <c r="I49" s="66"/>
      <c r="J49" s="66"/>
      <c r="K49" s="66"/>
      <c r="L49" s="66"/>
      <c r="M49" s="66"/>
      <c r="N49" s="66"/>
      <c r="O49" s="77">
        <v>5</v>
      </c>
      <c r="P49" s="77">
        <v>15</v>
      </c>
      <c r="Q49" s="77">
        <v>8</v>
      </c>
      <c r="R49" s="66"/>
      <c r="S49" s="66">
        <v>5</v>
      </c>
      <c r="T49" s="66"/>
      <c r="U49" s="66">
        <v>2</v>
      </c>
      <c r="V49" s="74">
        <f t="shared" si="17"/>
        <v>35</v>
      </c>
      <c r="W49" s="38">
        <f t="shared" si="18"/>
        <v>17.5</v>
      </c>
      <c r="X49" s="38">
        <f t="shared" si="19"/>
        <v>38.5</v>
      </c>
      <c r="Y49" s="75">
        <f t="shared" si="20"/>
        <v>32.666666666666664</v>
      </c>
      <c r="Z49" s="164">
        <f t="shared" si="21"/>
        <v>16.333333333333332</v>
      </c>
      <c r="AA49" s="174"/>
      <c r="AB49" s="174"/>
      <c r="AC49" s="174"/>
      <c r="AD49" s="175"/>
      <c r="AE49" s="192">
        <f t="shared" si="22"/>
        <v>0</v>
      </c>
      <c r="AF49" s="192">
        <f t="shared" si="23"/>
        <v>0</v>
      </c>
      <c r="AG49" s="192">
        <f t="shared" si="24"/>
        <v>1.6333333333333333</v>
      </c>
      <c r="AH49" s="192">
        <f t="shared" si="25"/>
        <v>6.4969696969696971</v>
      </c>
      <c r="AI49" s="265">
        <f t="shared" si="26"/>
        <v>0.5</v>
      </c>
      <c r="AJ49" s="192">
        <f t="shared" si="27"/>
        <v>2.4363636363636365</v>
      </c>
      <c r="AK49" s="265">
        <f t="shared" si="28"/>
        <v>2.4499999999999997</v>
      </c>
      <c r="AL49" s="192">
        <f t="shared" si="29"/>
        <v>0</v>
      </c>
      <c r="AM49" s="192">
        <f t="shared" si="30"/>
        <v>0.81666666666666665</v>
      </c>
      <c r="AN49" s="192">
        <f t="shared" si="31"/>
        <v>0</v>
      </c>
      <c r="AO49" s="192">
        <f t="shared" si="32"/>
        <v>2</v>
      </c>
    </row>
    <row r="50" spans="1:41" ht="18" customHeight="1">
      <c r="A50" s="80">
        <f t="shared" si="33"/>
        <v>47</v>
      </c>
      <c r="B50" s="66" t="s">
        <v>230</v>
      </c>
      <c r="C50" s="66" t="s">
        <v>230</v>
      </c>
      <c r="D50" s="93" t="s">
        <v>247</v>
      </c>
      <c r="E50" s="233"/>
      <c r="F50" s="82" t="s">
        <v>176</v>
      </c>
      <c r="G50" s="85"/>
      <c r="H50" s="66"/>
      <c r="I50" s="66"/>
      <c r="J50" s="66"/>
      <c r="K50" s="66"/>
      <c r="L50" s="66"/>
      <c r="M50" s="66"/>
      <c r="N50" s="66"/>
      <c r="O50" s="77">
        <v>0</v>
      </c>
      <c r="P50" s="77">
        <v>6</v>
      </c>
      <c r="Q50" s="77">
        <v>4</v>
      </c>
      <c r="R50" s="66"/>
      <c r="S50" s="66">
        <v>5</v>
      </c>
      <c r="T50" s="66"/>
      <c r="U50" s="66">
        <v>2</v>
      </c>
      <c r="V50" s="74">
        <f t="shared" si="17"/>
        <v>17</v>
      </c>
      <c r="W50" s="38">
        <f t="shared" si="18"/>
        <v>8.5</v>
      </c>
      <c r="X50" s="38">
        <f t="shared" si="19"/>
        <v>18.7</v>
      </c>
      <c r="Y50" s="75">
        <f t="shared" si="20"/>
        <v>15.866666666666667</v>
      </c>
      <c r="Z50" s="164">
        <f t="shared" si="21"/>
        <v>7.9333333333333336</v>
      </c>
      <c r="AA50" s="174"/>
      <c r="AB50" s="174"/>
      <c r="AC50" s="174"/>
      <c r="AD50" s="175"/>
      <c r="AE50" s="192">
        <f t="shared" si="22"/>
        <v>0</v>
      </c>
      <c r="AF50" s="192">
        <f t="shared" si="23"/>
        <v>0</v>
      </c>
      <c r="AG50" s="192">
        <f t="shared" si="24"/>
        <v>0.79333333333333345</v>
      </c>
      <c r="AH50" s="192">
        <f t="shared" si="25"/>
        <v>2.2206060606060611</v>
      </c>
      <c r="AI50" s="265">
        <f t="shared" si="26"/>
        <v>0.5</v>
      </c>
      <c r="AJ50" s="192">
        <f t="shared" si="27"/>
        <v>0.83272727272727298</v>
      </c>
      <c r="AK50" s="265">
        <f t="shared" si="28"/>
        <v>1.19</v>
      </c>
      <c r="AL50" s="192">
        <f t="shared" si="29"/>
        <v>0</v>
      </c>
      <c r="AM50" s="192">
        <f t="shared" si="30"/>
        <v>0.39666666666666672</v>
      </c>
      <c r="AN50" s="192">
        <f t="shared" si="31"/>
        <v>0</v>
      </c>
      <c r="AO50" s="192">
        <f t="shared" si="32"/>
        <v>2</v>
      </c>
    </row>
    <row r="51" spans="1:41" ht="18" customHeight="1">
      <c r="A51" s="80">
        <f t="shared" si="33"/>
        <v>48</v>
      </c>
      <c r="B51" s="66" t="s">
        <v>230</v>
      </c>
      <c r="C51" s="66" t="s">
        <v>230</v>
      </c>
      <c r="D51" s="99" t="s">
        <v>248</v>
      </c>
      <c r="E51" s="234"/>
      <c r="F51" s="82" t="s">
        <v>176</v>
      </c>
      <c r="G51" s="85"/>
      <c r="H51" s="66"/>
      <c r="I51" s="66"/>
      <c r="J51" s="66"/>
      <c r="K51" s="66"/>
      <c r="L51" s="66"/>
      <c r="M51" s="66"/>
      <c r="N51" s="66"/>
      <c r="O51" s="77" t="s">
        <v>249</v>
      </c>
      <c r="P51" s="77" t="s">
        <v>249</v>
      </c>
      <c r="Q51" s="77" t="s">
        <v>249</v>
      </c>
      <c r="R51" s="66"/>
      <c r="S51" s="66">
        <v>5</v>
      </c>
      <c r="T51" s="66"/>
      <c r="U51" s="66">
        <v>2</v>
      </c>
      <c r="V51" s="74">
        <f t="shared" si="17"/>
        <v>7</v>
      </c>
      <c r="W51" s="38">
        <f t="shared" si="18"/>
        <v>3.5</v>
      </c>
      <c r="X51" s="38">
        <f t="shared" si="19"/>
        <v>7.7</v>
      </c>
      <c r="Y51" s="75">
        <f t="shared" si="20"/>
        <v>6.5333333333333341</v>
      </c>
      <c r="Z51" s="164">
        <f t="shared" si="21"/>
        <v>3.2666666666666671</v>
      </c>
      <c r="AA51" s="174"/>
      <c r="AB51" s="174"/>
      <c r="AC51" s="174"/>
      <c r="AD51" s="175"/>
      <c r="AE51" s="192">
        <f t="shared" si="22"/>
        <v>0</v>
      </c>
      <c r="AF51" s="192">
        <f t="shared" si="23"/>
        <v>0</v>
      </c>
      <c r="AG51" s="192">
        <f t="shared" si="24"/>
        <v>0.32666666666666672</v>
      </c>
      <c r="AH51" s="192">
        <f t="shared" si="25"/>
        <v>-0.15515151515151485</v>
      </c>
      <c r="AI51" s="265">
        <f t="shared" si="26"/>
        <v>0.5</v>
      </c>
      <c r="AJ51" s="192">
        <f t="shared" si="27"/>
        <v>-5.8181818181818064E-2</v>
      </c>
      <c r="AK51" s="265">
        <f t="shared" si="28"/>
        <v>0.49000000000000005</v>
      </c>
      <c r="AL51" s="192">
        <f t="shared" si="29"/>
        <v>0</v>
      </c>
      <c r="AM51" s="192">
        <f t="shared" si="30"/>
        <v>0.16333333333333336</v>
      </c>
      <c r="AN51" s="192">
        <f t="shared" si="31"/>
        <v>0</v>
      </c>
      <c r="AO51" s="192">
        <f t="shared" si="32"/>
        <v>2</v>
      </c>
    </row>
    <row r="52" spans="1:41" ht="18" hidden="1" customHeight="1">
      <c r="A52" s="80">
        <f t="shared" si="33"/>
        <v>49</v>
      </c>
      <c r="B52" s="66" t="s">
        <v>230</v>
      </c>
      <c r="C52" s="66" t="s">
        <v>230</v>
      </c>
      <c r="D52" s="93" t="s">
        <v>250</v>
      </c>
      <c r="E52" s="233"/>
      <c r="F52" s="82" t="s">
        <v>251</v>
      </c>
      <c r="G52" s="85"/>
      <c r="H52" s="66"/>
      <c r="I52" s="66"/>
      <c r="J52" s="66"/>
      <c r="K52" s="66"/>
      <c r="L52" s="66"/>
      <c r="M52" s="66"/>
      <c r="N52" s="66"/>
      <c r="O52" s="77">
        <v>0</v>
      </c>
      <c r="P52" s="77">
        <v>3</v>
      </c>
      <c r="Q52" s="77">
        <v>1</v>
      </c>
      <c r="R52" s="66"/>
      <c r="S52" s="66">
        <v>5</v>
      </c>
      <c r="T52" s="66"/>
      <c r="U52" s="66">
        <v>2</v>
      </c>
      <c r="V52" s="74">
        <f t="shared" si="17"/>
        <v>11</v>
      </c>
      <c r="W52" s="38">
        <f t="shared" si="18"/>
        <v>5.5</v>
      </c>
      <c r="X52" s="38">
        <f t="shared" si="19"/>
        <v>12.1</v>
      </c>
      <c r="Y52" s="75">
        <f t="shared" si="20"/>
        <v>10.266666666666667</v>
      </c>
      <c r="Z52" s="164">
        <f t="shared" si="21"/>
        <v>5.1333333333333337</v>
      </c>
      <c r="AA52" s="174"/>
      <c r="AB52" s="174"/>
      <c r="AC52" s="174"/>
      <c r="AD52" s="175"/>
      <c r="AE52" s="192">
        <f t="shared" si="22"/>
        <v>0</v>
      </c>
      <c r="AF52" s="192">
        <f t="shared" si="23"/>
        <v>0</v>
      </c>
      <c r="AG52" s="192">
        <f t="shared" si="24"/>
        <v>0.51333333333333342</v>
      </c>
      <c r="AH52" s="192">
        <f t="shared" si="25"/>
        <v>0.79515151515151516</v>
      </c>
      <c r="AI52" s="265">
        <f t="shared" si="26"/>
        <v>0.5</v>
      </c>
      <c r="AJ52" s="192">
        <f t="shared" si="27"/>
        <v>0.2981818181818181</v>
      </c>
      <c r="AK52" s="265">
        <f t="shared" si="28"/>
        <v>0.77</v>
      </c>
      <c r="AL52" s="192">
        <f t="shared" si="29"/>
        <v>0</v>
      </c>
      <c r="AM52" s="192">
        <f t="shared" si="30"/>
        <v>0.25666666666666671</v>
      </c>
      <c r="AN52" s="192">
        <f t="shared" si="31"/>
        <v>0</v>
      </c>
      <c r="AO52" s="192">
        <f t="shared" si="32"/>
        <v>2</v>
      </c>
    </row>
    <row r="53" spans="1:41" ht="18" hidden="1" customHeight="1">
      <c r="A53" s="80">
        <f t="shared" si="33"/>
        <v>50</v>
      </c>
      <c r="B53" s="66" t="s">
        <v>230</v>
      </c>
      <c r="C53" s="66" t="s">
        <v>230</v>
      </c>
      <c r="D53" s="93" t="s">
        <v>252</v>
      </c>
      <c r="E53" s="233"/>
      <c r="F53" s="82" t="s">
        <v>251</v>
      </c>
      <c r="G53" s="85"/>
      <c r="H53" s="66"/>
      <c r="I53" s="66"/>
      <c r="J53" s="66"/>
      <c r="K53" s="66"/>
      <c r="L53" s="66"/>
      <c r="M53" s="66"/>
      <c r="N53" s="66"/>
      <c r="O53" s="77">
        <v>1</v>
      </c>
      <c r="P53" s="77">
        <v>3</v>
      </c>
      <c r="Q53" s="77">
        <v>1</v>
      </c>
      <c r="R53" s="66"/>
      <c r="S53" s="66">
        <v>5</v>
      </c>
      <c r="T53" s="66"/>
      <c r="U53" s="66">
        <v>2</v>
      </c>
      <c r="V53" s="74">
        <f t="shared" si="17"/>
        <v>12</v>
      </c>
      <c r="W53" s="38">
        <f t="shared" si="18"/>
        <v>6</v>
      </c>
      <c r="X53" s="38">
        <f t="shared" si="19"/>
        <v>13.2</v>
      </c>
      <c r="Y53" s="75">
        <f t="shared" si="20"/>
        <v>11.200000000000001</v>
      </c>
      <c r="Z53" s="164">
        <f t="shared" si="21"/>
        <v>5.6000000000000005</v>
      </c>
      <c r="AA53" s="174"/>
      <c r="AB53" s="174"/>
      <c r="AC53" s="174"/>
      <c r="AD53" s="175"/>
      <c r="AE53" s="192">
        <f t="shared" si="22"/>
        <v>0</v>
      </c>
      <c r="AF53" s="192">
        <f t="shared" si="23"/>
        <v>0</v>
      </c>
      <c r="AG53" s="192">
        <f t="shared" si="24"/>
        <v>0.56000000000000005</v>
      </c>
      <c r="AH53" s="192">
        <f t="shared" si="25"/>
        <v>1.0327272727272734</v>
      </c>
      <c r="AI53" s="265">
        <f t="shared" si="26"/>
        <v>0.5</v>
      </c>
      <c r="AJ53" s="192">
        <f t="shared" si="27"/>
        <v>0.38727272727272744</v>
      </c>
      <c r="AK53" s="265">
        <f t="shared" si="28"/>
        <v>0.84000000000000008</v>
      </c>
      <c r="AL53" s="192">
        <f t="shared" si="29"/>
        <v>0</v>
      </c>
      <c r="AM53" s="192">
        <f t="shared" si="30"/>
        <v>0.28000000000000003</v>
      </c>
      <c r="AN53" s="192">
        <f t="shared" si="31"/>
        <v>0</v>
      </c>
      <c r="AO53" s="192">
        <f t="shared" si="32"/>
        <v>2</v>
      </c>
    </row>
    <row r="54" spans="1:41" ht="18" hidden="1" customHeight="1">
      <c r="A54" s="80">
        <f t="shared" si="33"/>
        <v>51</v>
      </c>
      <c r="B54" s="66" t="s">
        <v>230</v>
      </c>
      <c r="C54" s="66" t="s">
        <v>230</v>
      </c>
      <c r="D54" s="93" t="s">
        <v>253</v>
      </c>
      <c r="E54" s="233"/>
      <c r="F54" s="82" t="s">
        <v>251</v>
      </c>
      <c r="G54" s="85"/>
      <c r="H54" s="66"/>
      <c r="I54" s="66"/>
      <c r="J54" s="66"/>
      <c r="K54" s="66"/>
      <c r="L54" s="66"/>
      <c r="M54" s="66"/>
      <c r="N54" s="66"/>
      <c r="O54" s="77">
        <v>1</v>
      </c>
      <c r="P54" s="77">
        <v>5</v>
      </c>
      <c r="Q54" s="77">
        <v>1</v>
      </c>
      <c r="R54" s="66"/>
      <c r="S54" s="66">
        <v>5</v>
      </c>
      <c r="T54" s="66"/>
      <c r="U54" s="66">
        <v>2</v>
      </c>
      <c r="V54" s="74">
        <f t="shared" si="17"/>
        <v>14</v>
      </c>
      <c r="W54" s="38">
        <f t="shared" si="18"/>
        <v>7</v>
      </c>
      <c r="X54" s="38">
        <f t="shared" si="19"/>
        <v>15.4</v>
      </c>
      <c r="Y54" s="75">
        <f t="shared" si="20"/>
        <v>13.066666666666668</v>
      </c>
      <c r="Z54" s="164">
        <f t="shared" si="21"/>
        <v>6.5333333333333341</v>
      </c>
      <c r="AA54" s="174"/>
      <c r="AB54" s="174"/>
      <c r="AC54" s="174"/>
      <c r="AD54" s="175"/>
      <c r="AE54" s="192">
        <f t="shared" si="22"/>
        <v>0</v>
      </c>
      <c r="AF54" s="192">
        <f t="shared" si="23"/>
        <v>0</v>
      </c>
      <c r="AG54" s="192">
        <f t="shared" si="24"/>
        <v>0.65333333333333343</v>
      </c>
      <c r="AH54" s="192">
        <f t="shared" si="25"/>
        <v>1.5078787878787878</v>
      </c>
      <c r="AI54" s="265">
        <f t="shared" si="26"/>
        <v>0.5</v>
      </c>
      <c r="AJ54" s="192">
        <f t="shared" si="27"/>
        <v>0.56545454545454543</v>
      </c>
      <c r="AK54" s="265">
        <f t="shared" si="28"/>
        <v>0.98000000000000009</v>
      </c>
      <c r="AL54" s="192">
        <f t="shared" si="29"/>
        <v>0</v>
      </c>
      <c r="AM54" s="192">
        <f t="shared" si="30"/>
        <v>0.32666666666666672</v>
      </c>
      <c r="AN54" s="192">
        <f t="shared" si="31"/>
        <v>0</v>
      </c>
      <c r="AO54" s="192">
        <f t="shared" si="32"/>
        <v>2</v>
      </c>
    </row>
    <row r="55" spans="1:41" ht="18" customHeight="1">
      <c r="A55" s="80">
        <f t="shared" si="33"/>
        <v>52</v>
      </c>
      <c r="B55" s="66" t="s">
        <v>230</v>
      </c>
      <c r="C55" s="66" t="s">
        <v>230</v>
      </c>
      <c r="D55" s="100" t="s">
        <v>254</v>
      </c>
      <c r="E55" s="235"/>
      <c r="F55" s="83" t="s">
        <v>176</v>
      </c>
      <c r="G55" s="85"/>
      <c r="H55" s="66"/>
      <c r="I55" s="66"/>
      <c r="J55" s="66"/>
      <c r="K55" s="66"/>
      <c r="L55" s="66"/>
      <c r="M55" s="66"/>
      <c r="N55" s="66"/>
      <c r="O55" s="77">
        <v>0</v>
      </c>
      <c r="P55" s="77">
        <v>10</v>
      </c>
      <c r="Q55" s="77">
        <v>2</v>
      </c>
      <c r="R55" s="66"/>
      <c r="S55" s="66"/>
      <c r="T55" s="66"/>
      <c r="U55" s="66"/>
      <c r="V55" s="74">
        <f t="shared" si="17"/>
        <v>12</v>
      </c>
      <c r="W55" s="38">
        <f t="shared" si="18"/>
        <v>6</v>
      </c>
      <c r="X55" s="38">
        <f t="shared" si="19"/>
        <v>13.2</v>
      </c>
      <c r="Y55" s="75">
        <f t="shared" si="20"/>
        <v>11.200000000000001</v>
      </c>
      <c r="Z55" s="164">
        <f t="shared" si="21"/>
        <v>5.6000000000000005</v>
      </c>
      <c r="AA55" s="174"/>
      <c r="AB55" s="174"/>
      <c r="AC55" s="174"/>
      <c r="AD55" s="175"/>
      <c r="AE55" s="192">
        <f t="shared" si="22"/>
        <v>0</v>
      </c>
      <c r="AF55" s="192">
        <f t="shared" si="23"/>
        <v>0</v>
      </c>
      <c r="AG55" s="192">
        <f t="shared" si="24"/>
        <v>0.56000000000000005</v>
      </c>
      <c r="AH55" s="192">
        <f t="shared" si="25"/>
        <v>2.6909090909090914</v>
      </c>
      <c r="AI55" s="265">
        <f t="shared" si="26"/>
        <v>0.5</v>
      </c>
      <c r="AJ55" s="192">
        <f t="shared" si="27"/>
        <v>1.0090909090909093</v>
      </c>
      <c r="AK55" s="265">
        <f t="shared" si="28"/>
        <v>0.84000000000000008</v>
      </c>
      <c r="AL55" s="192">
        <f t="shared" si="29"/>
        <v>0</v>
      </c>
      <c r="AM55" s="192">
        <f t="shared" si="30"/>
        <v>0</v>
      </c>
      <c r="AN55" s="192">
        <f t="shared" si="31"/>
        <v>0</v>
      </c>
      <c r="AO55" s="192">
        <f t="shared" si="32"/>
        <v>0</v>
      </c>
    </row>
    <row r="56" spans="1:41" s="275" customFormat="1" ht="18" hidden="1" customHeight="1">
      <c r="V56" s="122">
        <f>SUM(V3:V55)*Settings!I2</f>
        <v>0</v>
      </c>
      <c r="W56" s="38">
        <f>SUM(W3:W55)*Settings!I2</f>
        <v>0</v>
      </c>
      <c r="X56" s="38">
        <f>SUM(X3:X55)*Settings!I2</f>
        <v>0</v>
      </c>
      <c r="Y56" s="75">
        <f>SUM(Y3:Y55)*Settings!I2</f>
        <v>0</v>
      </c>
      <c r="Z56" s="75">
        <f>SUM(Z3:Z55)*Settings!I2</f>
        <v>0</v>
      </c>
      <c r="AA56" s="159"/>
      <c r="AB56" s="159"/>
      <c r="AC56" s="159"/>
      <c r="AD56" s="159"/>
      <c r="AG56">
        <f t="shared" si="24"/>
        <v>0</v>
      </c>
      <c r="AH56">
        <f t="shared" si="25"/>
        <v>0</v>
      </c>
      <c r="AI56" s="263">
        <f t="shared" si="26"/>
        <v>0</v>
      </c>
      <c r="AJ56">
        <f t="shared" si="27"/>
        <v>0</v>
      </c>
      <c r="AK56" s="263">
        <f t="shared" si="28"/>
        <v>0</v>
      </c>
      <c r="AL56">
        <f t="shared" si="29"/>
        <v>0</v>
      </c>
      <c r="AM56">
        <f t="shared" si="30"/>
        <v>0</v>
      </c>
      <c r="AN56">
        <f t="shared" si="31"/>
        <v>0</v>
      </c>
      <c r="AO56">
        <f t="shared" si="32"/>
        <v>0</v>
      </c>
    </row>
    <row r="57" spans="1:41" s="275" customFormat="1" ht="18" customHeight="1">
      <c r="AG57" s="275">
        <f t="shared" si="24"/>
        <v>0</v>
      </c>
      <c r="AH57" s="275">
        <f t="shared" si="25"/>
        <v>0</v>
      </c>
      <c r="AI57" s="286">
        <f t="shared" si="26"/>
        <v>0</v>
      </c>
      <c r="AJ57" s="275">
        <f t="shared" si="27"/>
        <v>0</v>
      </c>
      <c r="AK57" s="275">
        <f t="shared" si="28"/>
        <v>0</v>
      </c>
      <c r="AL57" s="275">
        <f t="shared" si="29"/>
        <v>0</v>
      </c>
      <c r="AM57" s="275">
        <f t="shared" si="30"/>
        <v>0</v>
      </c>
      <c r="AN57" s="275">
        <f t="shared" si="31"/>
        <v>0</v>
      </c>
      <c r="AO57" s="275">
        <f t="shared" si="32"/>
        <v>0</v>
      </c>
    </row>
    <row r="58" spans="1:41" s="275" customFormat="1" ht="18" customHeight="1">
      <c r="AG58" s="275">
        <f t="shared" si="24"/>
        <v>0</v>
      </c>
      <c r="AH58" s="275">
        <f t="shared" si="25"/>
        <v>0</v>
      </c>
      <c r="AI58" s="286">
        <f t="shared" si="26"/>
        <v>0</v>
      </c>
      <c r="AJ58" s="275">
        <f t="shared" si="27"/>
        <v>0</v>
      </c>
      <c r="AK58" s="275">
        <f t="shared" si="28"/>
        <v>0</v>
      </c>
      <c r="AL58" s="275">
        <f t="shared" si="29"/>
        <v>0</v>
      </c>
      <c r="AM58" s="275">
        <f t="shared" si="30"/>
        <v>0</v>
      </c>
      <c r="AN58" s="275">
        <f t="shared" si="31"/>
        <v>0</v>
      </c>
      <c r="AO58" s="275">
        <f t="shared" si="32"/>
        <v>0</v>
      </c>
    </row>
    <row r="59" spans="1:41" s="275" customFormat="1" ht="18" customHeight="1">
      <c r="AG59" s="275">
        <f t="shared" si="24"/>
        <v>0</v>
      </c>
      <c r="AH59" s="275">
        <f t="shared" si="25"/>
        <v>0</v>
      </c>
      <c r="AI59" s="286">
        <f t="shared" si="26"/>
        <v>0</v>
      </c>
      <c r="AJ59" s="275">
        <f t="shared" si="27"/>
        <v>0</v>
      </c>
      <c r="AK59" s="275">
        <f t="shared" si="28"/>
        <v>0</v>
      </c>
      <c r="AL59" s="275">
        <f t="shared" si="29"/>
        <v>0</v>
      </c>
      <c r="AM59" s="275">
        <f t="shared" si="30"/>
        <v>0</v>
      </c>
      <c r="AN59" s="275">
        <f t="shared" si="31"/>
        <v>0</v>
      </c>
      <c r="AO59" s="275">
        <f t="shared" si="32"/>
        <v>0</v>
      </c>
    </row>
    <row r="60" spans="1:41" s="275" customFormat="1" ht="18" customHeight="1">
      <c r="AG60" s="275">
        <f t="shared" si="24"/>
        <v>0</v>
      </c>
      <c r="AH60" s="275">
        <f t="shared" si="25"/>
        <v>0</v>
      </c>
      <c r="AI60" s="286">
        <f t="shared" si="26"/>
        <v>0</v>
      </c>
      <c r="AJ60" s="275">
        <f t="shared" si="27"/>
        <v>0</v>
      </c>
      <c r="AK60" s="275">
        <f t="shared" si="28"/>
        <v>0</v>
      </c>
      <c r="AL60" s="275">
        <f t="shared" si="29"/>
        <v>0</v>
      </c>
      <c r="AM60" s="275">
        <f t="shared" si="30"/>
        <v>0</v>
      </c>
      <c r="AN60" s="275">
        <f t="shared" si="31"/>
        <v>0</v>
      </c>
      <c r="AO60" s="275">
        <f t="shared" si="32"/>
        <v>0</v>
      </c>
    </row>
  </sheetData>
  <autoFilter ref="A2:AQ56" xr:uid="{00000000-0009-0000-0000-000003000000}">
    <filterColumn colId="5">
      <filters>
        <filter val="PGL"/>
      </filters>
    </filterColumn>
  </autoFilter>
  <mergeCells count="12">
    <mergeCell ref="B29:B34"/>
    <mergeCell ref="C6:C17"/>
    <mergeCell ref="C26:C28"/>
    <mergeCell ref="A1:D1"/>
    <mergeCell ref="W1:AO1"/>
    <mergeCell ref="B22:B28"/>
    <mergeCell ref="M1:V1"/>
    <mergeCell ref="C3:C5"/>
    <mergeCell ref="C19:C21"/>
    <mergeCell ref="B6:B21"/>
    <mergeCell ref="B3:B5"/>
    <mergeCell ref="C23:C25"/>
  </mergeCells>
  <hyperlinks>
    <hyperlink ref="E22" r:id="rId1" xr:uid="{00000000-0004-0000-0300-000000000000}"/>
    <hyperlink ref="E26" r:id="rId2" xr:uid="{00000000-0004-0000-0300-000001000000}"/>
    <hyperlink ref="E27" r:id="rId3" xr:uid="{00000000-0004-0000-0300-000002000000}"/>
    <hyperlink ref="E28" r:id="rId4" xr:uid="{00000000-0004-0000-0300-000003000000}"/>
    <hyperlink ref="E31" r:id="rId5" xr:uid="{00000000-0004-0000-0300-000004000000}"/>
    <hyperlink ref="E33" r:id="rId6" xr:uid="{00000000-0004-0000-0300-000005000000}"/>
    <hyperlink ref="E34" r:id="rId7" xr:uid="{00000000-0004-0000-0300-000006000000}"/>
    <hyperlink ref="E36" r:id="rId8" xr:uid="{00000000-0004-0000-0300-000007000000}"/>
    <hyperlink ref="E37" r:id="rId9" xr:uid="{00000000-0004-0000-0300-000008000000}"/>
  </hyperlink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P18"/>
  <sheetViews>
    <sheetView workbookViewId="0">
      <pane xSplit="5" ySplit="12" topLeftCell="F13" activePane="bottomRight" state="frozen"/>
      <selection pane="topRight"/>
      <selection pane="bottomLeft"/>
      <selection pane="bottomRight" activeCell="H8" sqref="D8:H8"/>
    </sheetView>
  </sheetViews>
  <sheetFormatPr defaultRowHeight="18" customHeight="1"/>
  <cols>
    <col min="1" max="1" width="4.44140625" style="276" bestFit="1" customWidth="1"/>
    <col min="2" max="2" width="14.44140625" style="276" bestFit="1" customWidth="1"/>
    <col min="3" max="3" width="23.88671875" style="276" bestFit="1" customWidth="1"/>
    <col min="4" max="4" width="46.5546875" style="276" customWidth="1"/>
    <col min="5" max="5" width="14.44140625" style="276" customWidth="1"/>
    <col min="6" max="6" width="14.33203125" style="276" customWidth="1"/>
    <col min="7" max="8" width="10" style="276" customWidth="1"/>
    <col min="9" max="9" width="9.109375" style="276" customWidth="1"/>
    <col min="10" max="12" width="7.6640625" style="276" customWidth="1"/>
    <col min="13" max="13" width="11.5546875" style="276" customWidth="1"/>
    <col min="14" max="21" width="8.88671875" style="276" customWidth="1"/>
    <col min="22" max="22" width="9.33203125" style="276" customWidth="1"/>
    <col min="23" max="23" width="16" style="276" bestFit="1" customWidth="1"/>
    <col min="24" max="24" width="16.5546875" style="276" bestFit="1" customWidth="1"/>
    <col min="25" max="25" width="11.6640625" style="276" bestFit="1" customWidth="1"/>
    <col min="26" max="26" width="11.6640625" style="280" customWidth="1"/>
    <col min="27" max="30" width="11.6640625" style="281" customWidth="1"/>
    <col min="31" max="31" width="15" style="276" bestFit="1" customWidth="1"/>
    <col min="32" max="32" width="11.33203125" style="276" bestFit="1" customWidth="1"/>
    <col min="33" max="33" width="12.5546875" style="276" bestFit="1" customWidth="1"/>
    <col min="34" max="34" width="10.109375" style="276" bestFit="1" customWidth="1"/>
    <col min="35" max="35" width="10.44140625" style="276" bestFit="1" customWidth="1"/>
    <col min="36" max="36" width="14" style="276" bestFit="1" customWidth="1"/>
    <col min="37" max="37" width="9" style="276" bestFit="1" customWidth="1"/>
    <col min="38" max="38" width="13.33203125" style="276" bestFit="1" customWidth="1"/>
    <col min="39" max="39" width="12.44140625" style="276" bestFit="1" customWidth="1"/>
  </cols>
  <sheetData>
    <row r="1" spans="1:41" ht="18" customHeight="1">
      <c r="A1" s="291" t="s">
        <v>255</v>
      </c>
      <c r="B1" s="292"/>
      <c r="C1" s="292"/>
      <c r="D1" s="292"/>
      <c r="E1" s="217"/>
      <c r="F1" s="7"/>
      <c r="G1" s="7"/>
      <c r="H1" s="39" t="s">
        <v>20</v>
      </c>
      <c r="I1" s="39" t="s">
        <v>21</v>
      </c>
      <c r="J1" s="39" t="s">
        <v>22</v>
      </c>
      <c r="K1" s="39" t="s">
        <v>23</v>
      </c>
      <c r="L1" s="40"/>
      <c r="M1" s="294" t="s">
        <v>24</v>
      </c>
      <c r="N1" s="292"/>
      <c r="O1" s="292"/>
      <c r="P1" s="292"/>
      <c r="Q1" s="292"/>
      <c r="R1" s="292"/>
      <c r="S1" s="292"/>
      <c r="T1" s="292"/>
      <c r="U1" s="292"/>
      <c r="V1" s="292"/>
      <c r="W1" s="316" t="s">
        <v>25</v>
      </c>
      <c r="X1" s="302"/>
      <c r="Y1" s="302"/>
      <c r="Z1" s="317"/>
      <c r="AA1" s="318"/>
      <c r="AB1" s="318"/>
      <c r="AC1" s="318"/>
      <c r="AD1" s="318"/>
      <c r="AE1" s="302"/>
      <c r="AF1" s="302"/>
      <c r="AG1" s="302"/>
      <c r="AH1" s="302"/>
      <c r="AI1" s="301"/>
      <c r="AJ1" s="302"/>
      <c r="AK1" s="302"/>
      <c r="AL1" s="302"/>
      <c r="AM1" s="302"/>
      <c r="AN1" s="302"/>
      <c r="AO1" s="302"/>
    </row>
    <row r="2" spans="1:41" ht="18" customHeight="1">
      <c r="A2" s="3" t="s">
        <v>27</v>
      </c>
      <c r="B2" s="3" t="s">
        <v>28</v>
      </c>
      <c r="C2" s="32" t="s">
        <v>29</v>
      </c>
      <c r="D2" s="27" t="s">
        <v>30</v>
      </c>
      <c r="E2" s="27" t="s">
        <v>31</v>
      </c>
      <c r="F2" s="3" t="s">
        <v>32</v>
      </c>
      <c r="G2" s="3" t="s">
        <v>33</v>
      </c>
      <c r="H2" s="41" t="s">
        <v>34</v>
      </c>
      <c r="I2" s="41" t="s">
        <v>34</v>
      </c>
      <c r="J2" s="41" t="s">
        <v>34</v>
      </c>
      <c r="K2" s="41" t="s">
        <v>34</v>
      </c>
      <c r="L2" s="41" t="s">
        <v>35</v>
      </c>
      <c r="M2" s="46" t="s">
        <v>36</v>
      </c>
      <c r="N2" s="46" t="s">
        <v>37</v>
      </c>
      <c r="O2" s="46" t="s">
        <v>38</v>
      </c>
      <c r="P2" s="46" t="s">
        <v>39</v>
      </c>
      <c r="Q2" s="46" t="s">
        <v>40</v>
      </c>
      <c r="R2" s="46" t="s">
        <v>41</v>
      </c>
      <c r="S2" s="46" t="s">
        <v>42</v>
      </c>
      <c r="T2" s="46" t="s">
        <v>43</v>
      </c>
      <c r="U2" s="46" t="s">
        <v>44</v>
      </c>
      <c r="V2" s="47" t="s">
        <v>45</v>
      </c>
      <c r="W2" s="37" t="str">
        <f>"Optimistic ("&amp;Summary!E7&amp;")"</f>
        <v>Optimistic (50%)</v>
      </c>
      <c r="X2" s="37" t="s">
        <v>46</v>
      </c>
      <c r="Y2" s="37" t="s">
        <v>47</v>
      </c>
      <c r="Z2" s="160" t="s">
        <v>48</v>
      </c>
      <c r="AA2" s="161" t="s">
        <v>49</v>
      </c>
      <c r="AB2" s="161" t="s">
        <v>50</v>
      </c>
      <c r="AC2" s="161" t="s">
        <v>51</v>
      </c>
      <c r="AD2" s="161" t="s">
        <v>52</v>
      </c>
      <c r="AE2" s="194" t="s">
        <v>36</v>
      </c>
      <c r="AF2" s="73" t="s">
        <v>53</v>
      </c>
      <c r="AG2" s="73" t="s">
        <v>54</v>
      </c>
      <c r="AH2" s="73" t="s">
        <v>55</v>
      </c>
      <c r="AI2" s="264" t="s">
        <v>56</v>
      </c>
      <c r="AJ2" s="73" t="s">
        <v>57</v>
      </c>
      <c r="AK2" s="264" t="s">
        <v>58</v>
      </c>
      <c r="AL2" s="194" t="s">
        <v>41</v>
      </c>
      <c r="AM2" s="73" t="s">
        <v>59</v>
      </c>
      <c r="AN2" s="73" t="s">
        <v>60</v>
      </c>
      <c r="AO2" s="194" t="s">
        <v>44</v>
      </c>
    </row>
    <row r="3" spans="1:41" ht="18" customHeight="1">
      <c r="A3" s="1">
        <v>1</v>
      </c>
      <c r="B3" s="270" t="s">
        <v>61</v>
      </c>
      <c r="C3" s="270"/>
      <c r="D3" s="1"/>
      <c r="E3" s="1"/>
      <c r="F3" s="1"/>
      <c r="G3" s="1"/>
      <c r="H3" s="1"/>
      <c r="I3" s="1"/>
      <c r="J3" s="1"/>
      <c r="K3" s="1"/>
      <c r="L3" s="1"/>
      <c r="M3" s="1"/>
      <c r="N3" s="1"/>
      <c r="O3" s="1"/>
      <c r="P3" s="1"/>
      <c r="Q3" s="1"/>
      <c r="R3" s="1"/>
      <c r="S3" s="1"/>
      <c r="T3" s="1"/>
      <c r="U3" s="1"/>
      <c r="V3" s="55">
        <f t="shared" ref="V3:V17" si="0">SUM(M3:U3)</f>
        <v>0</v>
      </c>
      <c r="W3" s="38">
        <f>V3 - (V3 * (SUBSTITUTE(SUBSTITUTE($W$2, "Optimistic (", ""), "%)", "") / 100))</f>
        <v>0</v>
      </c>
      <c r="X3" s="38">
        <f t="shared" ref="X3:X17" si="1">V3 + (V3 * (SUBSTITUTE(SUBSTITUTE($X$2, "Pessimistic (", ""), "%)", "") / 100))</f>
        <v>0</v>
      </c>
      <c r="Y3" s="75">
        <f t="shared" ref="Y3:Y8" si="2">(W3+(4*V3)+X3)/6</f>
        <v>0</v>
      </c>
      <c r="Z3" s="197"/>
      <c r="AA3" s="203"/>
      <c r="AB3" s="203"/>
      <c r="AC3" s="203"/>
      <c r="AD3" s="203"/>
      <c r="AE3" s="192">
        <f t="shared" ref="AE3:AE17" si="3">IF($Z3="",0,IF($M3="",0,$M3))</f>
        <v>0</v>
      </c>
      <c r="AF3" s="192">
        <f t="shared" ref="AF3:AF17" si="4">IF(OR($Z3="",$N3=""),0,$Z3*5%)</f>
        <v>0</v>
      </c>
      <c r="AG3" s="192">
        <f t="shared" ref="AG3:AG18" si="5">IF(OR($Z3="",$O3=""),0,$Z3*10%)</f>
        <v>0</v>
      </c>
      <c r="AH3" s="192">
        <f t="shared" ref="AH3:AH18" si="6">IF($Z3="",0,IF(AND($P3="",$Q3=""),($Z3-$AE3-$AF3-$AG3-$AI3-$AK3-$AL3-$AM3-$AN3-$AO3),IF($P3="",0,IF($Q3="",($Z3-$AE3-$AF3-$AG3-$AI3-$AK3-$AL3-$AM3-$AN3-$AO3),($Z3-$AE3-$AF3-$AG3-$AI3-$AK3-$AL3-$AM3-$AN3-$AO3)*40%/(40%+15%)))))</f>
        <v>0</v>
      </c>
      <c r="AI3" s="265">
        <f t="shared" ref="AI3:AI18" si="7">IF($Z3="",0,IF($P3="",0,0.5))</f>
        <v>0</v>
      </c>
      <c r="AJ3" s="192">
        <f t="shared" ref="AJ3:AJ18" si="8">IF($Z3="",0,IF(AND($P3="",$Q3=""),0,IF($Q3="",0,IF($P3="",($Z3-$AE3-$AF3-$AG3-$AI3-$AK3-$AL3-$AM3-$AN3-$AO3),($Z3-$AE3-$AF3-$AG3-$AI3-$AK3-$AL3-$AM3-$AN3-$AO3)*15%/(40%+15%)))))</f>
        <v>0</v>
      </c>
      <c r="AK3" s="265">
        <f t="shared" ref="AK3:AK18" si="9">IF($Z3="",0,$Z3*15%)</f>
        <v>0</v>
      </c>
      <c r="AL3" s="192">
        <f t="shared" ref="AL3:AL18" si="10">IF($Z3="",0,IF($R3="",0,$R3))</f>
        <v>0</v>
      </c>
      <c r="AM3" s="192">
        <f t="shared" ref="AM3:AM18" si="11">IF(OR($Z3="",$S3=""),0,$Z3*5%)</f>
        <v>0</v>
      </c>
      <c r="AN3" s="192">
        <f t="shared" ref="AN3:AN18" si="12">IF(OR($Z3="",$T3=""),0,$Z3*10%)</f>
        <v>0</v>
      </c>
      <c r="AO3" s="192">
        <f t="shared" ref="AO3:AO18" si="13">IF($Z3="",0,IF($U3="",0,$U3))</f>
        <v>0</v>
      </c>
    </row>
    <row r="4" spans="1:41" ht="18" customHeight="1">
      <c r="A4" s="1">
        <v>2</v>
      </c>
      <c r="B4" s="290" t="s">
        <v>85</v>
      </c>
      <c r="C4" s="270" t="s">
        <v>256</v>
      </c>
      <c r="D4" s="1" t="s">
        <v>257</v>
      </c>
      <c r="E4" s="241" t="s">
        <v>258</v>
      </c>
      <c r="F4" s="1" t="s">
        <v>65</v>
      </c>
      <c r="G4" s="1"/>
      <c r="H4" s="1"/>
      <c r="I4" s="1"/>
      <c r="J4" s="1"/>
      <c r="K4" s="1"/>
      <c r="L4" s="1"/>
      <c r="M4" s="1"/>
      <c r="N4" s="1">
        <v>0</v>
      </c>
      <c r="O4" s="158">
        <v>4</v>
      </c>
      <c r="P4" s="1">
        <f>43-15</f>
        <v>28</v>
      </c>
      <c r="Q4" s="1">
        <v>5</v>
      </c>
      <c r="R4" s="1">
        <v>5</v>
      </c>
      <c r="S4" s="1">
        <v>3</v>
      </c>
      <c r="T4" s="1">
        <v>5</v>
      </c>
      <c r="U4" s="1">
        <v>4</v>
      </c>
      <c r="V4" s="55">
        <f t="shared" si="0"/>
        <v>54</v>
      </c>
      <c r="W4" s="38">
        <f t="shared" ref="W4:W18" si="14">V4 - (V4 * ( 50% ))</f>
        <v>27</v>
      </c>
      <c r="X4" s="38">
        <f t="shared" si="1"/>
        <v>59.4</v>
      </c>
      <c r="Y4" s="75">
        <f t="shared" si="2"/>
        <v>50.4</v>
      </c>
      <c r="Z4" s="193">
        <f>Y4/2</f>
        <v>25.2</v>
      </c>
      <c r="AA4" s="161">
        <v>46076</v>
      </c>
      <c r="AB4" s="161">
        <v>46129</v>
      </c>
      <c r="AC4" s="161">
        <v>46132</v>
      </c>
      <c r="AD4" s="161">
        <v>46143</v>
      </c>
      <c r="AE4" s="192">
        <f t="shared" si="3"/>
        <v>0</v>
      </c>
      <c r="AF4" s="192">
        <f t="shared" si="4"/>
        <v>1.26</v>
      </c>
      <c r="AG4" s="192">
        <f t="shared" si="5"/>
        <v>2.52</v>
      </c>
      <c r="AH4" s="204">
        <f t="shared" si="6"/>
        <v>3.1709090909090891</v>
      </c>
      <c r="AI4" s="267">
        <f t="shared" si="7"/>
        <v>0.5</v>
      </c>
      <c r="AJ4" s="204">
        <f t="shared" si="8"/>
        <v>1.1890909090909083</v>
      </c>
      <c r="AK4" s="267">
        <f t="shared" si="9"/>
        <v>3.78</v>
      </c>
      <c r="AL4" s="192">
        <f t="shared" si="10"/>
        <v>5</v>
      </c>
      <c r="AM4" s="192">
        <f t="shared" si="11"/>
        <v>1.26</v>
      </c>
      <c r="AN4" s="204">
        <f t="shared" si="12"/>
        <v>2.52</v>
      </c>
      <c r="AO4" s="192">
        <f t="shared" si="13"/>
        <v>4</v>
      </c>
    </row>
    <row r="5" spans="1:41" ht="18" customHeight="1">
      <c r="A5" s="1">
        <v>3</v>
      </c>
      <c r="B5" s="288"/>
      <c r="C5" s="290" t="s">
        <v>259</v>
      </c>
      <c r="D5" s="1" t="s">
        <v>260</v>
      </c>
      <c r="E5" s="241" t="s">
        <v>261</v>
      </c>
      <c r="F5" s="1" t="s">
        <v>262</v>
      </c>
      <c r="G5" s="1"/>
      <c r="H5" s="1"/>
      <c r="I5" s="1"/>
      <c r="J5" s="1"/>
      <c r="K5" s="1"/>
      <c r="L5" s="1"/>
      <c r="M5" s="1"/>
      <c r="N5" s="1">
        <v>0</v>
      </c>
      <c r="O5" s="1">
        <v>0</v>
      </c>
      <c r="P5" s="1">
        <v>10</v>
      </c>
      <c r="Q5" s="1">
        <v>5</v>
      </c>
      <c r="R5" s="1">
        <v>5</v>
      </c>
      <c r="S5" s="1">
        <v>3</v>
      </c>
      <c r="T5" s="1">
        <v>5</v>
      </c>
      <c r="U5" s="1">
        <v>2</v>
      </c>
      <c r="V5" s="55">
        <f t="shared" si="0"/>
        <v>30</v>
      </c>
      <c r="W5" s="38">
        <f t="shared" si="14"/>
        <v>15</v>
      </c>
      <c r="X5" s="38">
        <f t="shared" si="1"/>
        <v>33</v>
      </c>
      <c r="Y5" s="75">
        <f t="shared" si="2"/>
        <v>28</v>
      </c>
      <c r="Z5" s="193">
        <f>Y5/2</f>
        <v>14</v>
      </c>
      <c r="AA5" s="161">
        <v>46132</v>
      </c>
      <c r="AB5" s="161">
        <v>46135</v>
      </c>
      <c r="AC5" s="161">
        <v>46136</v>
      </c>
      <c r="AD5" s="161">
        <v>46150</v>
      </c>
      <c r="AE5" s="192">
        <f t="shared" si="3"/>
        <v>0</v>
      </c>
      <c r="AF5" s="192">
        <f t="shared" si="4"/>
        <v>0.70000000000000007</v>
      </c>
      <c r="AG5" s="192">
        <f t="shared" si="5"/>
        <v>1.4000000000000001</v>
      </c>
      <c r="AH5" s="192">
        <f t="shared" si="6"/>
        <v>0.14545454545454556</v>
      </c>
      <c r="AI5" s="265">
        <f t="shared" si="7"/>
        <v>0.5</v>
      </c>
      <c r="AJ5" s="192">
        <f t="shared" si="8"/>
        <v>5.4545454545454591E-2</v>
      </c>
      <c r="AK5" s="265">
        <f t="shared" si="9"/>
        <v>2.1</v>
      </c>
      <c r="AL5" s="192">
        <f t="shared" si="10"/>
        <v>5</v>
      </c>
      <c r="AM5" s="192">
        <f t="shared" si="11"/>
        <v>0.70000000000000007</v>
      </c>
      <c r="AN5" s="192">
        <f t="shared" si="12"/>
        <v>1.4000000000000001</v>
      </c>
      <c r="AO5" s="192">
        <f t="shared" si="13"/>
        <v>2</v>
      </c>
    </row>
    <row r="6" spans="1:41" ht="18" customHeight="1">
      <c r="A6" s="1">
        <v>4</v>
      </c>
      <c r="B6" s="288"/>
      <c r="C6" s="288"/>
      <c r="D6" s="57" t="s">
        <v>263</v>
      </c>
      <c r="E6" s="239" t="s">
        <v>264</v>
      </c>
      <c r="F6" s="1" t="s">
        <v>262</v>
      </c>
      <c r="G6" s="1"/>
      <c r="H6" s="1"/>
      <c r="I6" s="1"/>
      <c r="J6" s="1"/>
      <c r="K6" s="1"/>
      <c r="L6" s="1"/>
      <c r="M6" s="1"/>
      <c r="N6" s="1">
        <v>0</v>
      </c>
      <c r="O6" s="1">
        <v>0</v>
      </c>
      <c r="P6" s="1">
        <v>10</v>
      </c>
      <c r="Q6" s="1">
        <v>5</v>
      </c>
      <c r="R6" s="1">
        <v>5</v>
      </c>
      <c r="S6" s="1">
        <v>5</v>
      </c>
      <c r="T6" s="1">
        <v>5</v>
      </c>
      <c r="U6" s="1">
        <v>2</v>
      </c>
      <c r="V6" s="55">
        <f t="shared" si="0"/>
        <v>32</v>
      </c>
      <c r="W6" s="38">
        <f t="shared" si="14"/>
        <v>16</v>
      </c>
      <c r="X6" s="38">
        <f t="shared" si="1"/>
        <v>35.200000000000003</v>
      </c>
      <c r="Y6" s="75">
        <f t="shared" si="2"/>
        <v>29.866666666666664</v>
      </c>
      <c r="Z6" s="193">
        <f>Y6/2</f>
        <v>14.933333333333332</v>
      </c>
      <c r="AA6" s="161">
        <v>46133</v>
      </c>
      <c r="AB6" s="161">
        <v>46143</v>
      </c>
      <c r="AC6" s="161">
        <v>46146</v>
      </c>
      <c r="AD6" s="161">
        <v>46154</v>
      </c>
      <c r="AE6" s="192">
        <f t="shared" si="3"/>
        <v>0</v>
      </c>
      <c r="AF6" s="192">
        <f t="shared" si="4"/>
        <v>0.74666666666666659</v>
      </c>
      <c r="AG6" s="192">
        <f t="shared" si="5"/>
        <v>1.4933333333333332</v>
      </c>
      <c r="AH6" s="192">
        <f t="shared" si="6"/>
        <v>0.5187878787878778</v>
      </c>
      <c r="AI6" s="265">
        <f t="shared" si="7"/>
        <v>0.5</v>
      </c>
      <c r="AJ6" s="192">
        <f t="shared" si="8"/>
        <v>0.19454545454545416</v>
      </c>
      <c r="AK6" s="265">
        <f t="shared" si="9"/>
        <v>2.2399999999999998</v>
      </c>
      <c r="AL6" s="192">
        <f t="shared" si="10"/>
        <v>5</v>
      </c>
      <c r="AM6" s="192">
        <f t="shared" si="11"/>
        <v>0.74666666666666659</v>
      </c>
      <c r="AN6" s="192">
        <f t="shared" si="12"/>
        <v>1.4933333333333332</v>
      </c>
      <c r="AO6" s="192">
        <f t="shared" si="13"/>
        <v>2</v>
      </c>
    </row>
    <row r="7" spans="1:41" ht="18" customHeight="1">
      <c r="A7" s="1">
        <v>5</v>
      </c>
      <c r="B7" s="288"/>
      <c r="C7" s="288"/>
      <c r="D7" s="45" t="s">
        <v>265</v>
      </c>
      <c r="E7" s="240" t="s">
        <v>266</v>
      </c>
      <c r="F7" s="1" t="s">
        <v>262</v>
      </c>
      <c r="G7" s="1"/>
      <c r="H7" s="1"/>
      <c r="I7" s="1"/>
      <c r="J7" s="1"/>
      <c r="K7" s="1"/>
      <c r="L7" s="1"/>
      <c r="M7" s="1"/>
      <c r="N7" s="1">
        <v>0</v>
      </c>
      <c r="O7" s="1">
        <v>0</v>
      </c>
      <c r="P7" s="1">
        <v>5</v>
      </c>
      <c r="Q7" s="1">
        <v>5</v>
      </c>
      <c r="R7" s="1">
        <v>5</v>
      </c>
      <c r="S7" s="1">
        <v>5</v>
      </c>
      <c r="T7" s="1">
        <v>5</v>
      </c>
      <c r="U7" s="1">
        <v>2</v>
      </c>
      <c r="V7" s="55">
        <f t="shared" si="0"/>
        <v>27</v>
      </c>
      <c r="W7" s="38">
        <f t="shared" si="14"/>
        <v>13.5</v>
      </c>
      <c r="X7" s="38">
        <f t="shared" si="1"/>
        <v>29.7</v>
      </c>
      <c r="Y7" s="75">
        <f t="shared" si="2"/>
        <v>25.2</v>
      </c>
      <c r="Z7" s="193">
        <f>Y7/2</f>
        <v>12.6</v>
      </c>
      <c r="AA7" s="161">
        <v>46141</v>
      </c>
      <c r="AB7" s="161">
        <v>46148</v>
      </c>
      <c r="AC7" s="161">
        <v>46149</v>
      </c>
      <c r="AD7" s="161">
        <v>46164</v>
      </c>
      <c r="AE7" s="192">
        <f t="shared" si="3"/>
        <v>0</v>
      </c>
      <c r="AF7" s="192">
        <f t="shared" si="4"/>
        <v>0.63</v>
      </c>
      <c r="AG7" s="192">
        <f t="shared" si="5"/>
        <v>1.26</v>
      </c>
      <c r="AH7" s="192">
        <f t="shared" si="6"/>
        <v>-0.41454545454545555</v>
      </c>
      <c r="AI7" s="265">
        <f t="shared" si="7"/>
        <v>0.5</v>
      </c>
      <c r="AJ7" s="192">
        <f t="shared" si="8"/>
        <v>-0.15545454545454582</v>
      </c>
      <c r="AK7" s="265">
        <f t="shared" si="9"/>
        <v>1.89</v>
      </c>
      <c r="AL7" s="192">
        <f t="shared" si="10"/>
        <v>5</v>
      </c>
      <c r="AM7" s="192">
        <f t="shared" si="11"/>
        <v>0.63</v>
      </c>
      <c r="AN7" s="192">
        <f t="shared" si="12"/>
        <v>1.26</v>
      </c>
      <c r="AO7" s="192">
        <f t="shared" si="13"/>
        <v>2</v>
      </c>
    </row>
    <row r="8" spans="1:41" ht="18" customHeight="1">
      <c r="A8" s="1">
        <v>6</v>
      </c>
      <c r="B8" s="288"/>
      <c r="C8" s="288"/>
      <c r="D8" s="45" t="s">
        <v>267</v>
      </c>
      <c r="E8" s="240" t="s">
        <v>268</v>
      </c>
      <c r="F8" s="1" t="s">
        <v>262</v>
      </c>
      <c r="G8" s="1"/>
      <c r="H8" s="1"/>
      <c r="I8" s="1"/>
      <c r="J8" s="1"/>
      <c r="K8" s="1"/>
      <c r="L8" s="1"/>
      <c r="M8" s="1"/>
      <c r="N8" s="1">
        <v>0</v>
      </c>
      <c r="O8" s="1">
        <v>0</v>
      </c>
      <c r="P8" s="1">
        <v>10</v>
      </c>
      <c r="Q8" s="1">
        <v>5</v>
      </c>
      <c r="R8" s="1">
        <v>5</v>
      </c>
      <c r="S8" s="1">
        <v>5</v>
      </c>
      <c r="T8" s="1">
        <v>5</v>
      </c>
      <c r="U8" s="1">
        <v>2</v>
      </c>
      <c r="V8" s="55">
        <f t="shared" si="0"/>
        <v>32</v>
      </c>
      <c r="W8" s="38">
        <f t="shared" si="14"/>
        <v>16</v>
      </c>
      <c r="X8" s="38">
        <f t="shared" si="1"/>
        <v>35.200000000000003</v>
      </c>
      <c r="Y8" s="75">
        <f t="shared" si="2"/>
        <v>29.866666666666664</v>
      </c>
      <c r="Z8" s="193">
        <f>Y8/2</f>
        <v>14.933333333333332</v>
      </c>
      <c r="AA8" s="161">
        <v>46146</v>
      </c>
      <c r="AB8" s="161">
        <v>46146</v>
      </c>
      <c r="AC8" s="161">
        <v>46147</v>
      </c>
      <c r="AD8" s="161">
        <v>46164</v>
      </c>
      <c r="AE8" s="192">
        <f t="shared" si="3"/>
        <v>0</v>
      </c>
      <c r="AF8" s="192">
        <f t="shared" si="4"/>
        <v>0.74666666666666659</v>
      </c>
      <c r="AG8" s="192">
        <f t="shared" si="5"/>
        <v>1.4933333333333332</v>
      </c>
      <c r="AH8" s="192">
        <f t="shared" si="6"/>
        <v>0.5187878787878778</v>
      </c>
      <c r="AI8" s="265">
        <f t="shared" si="7"/>
        <v>0.5</v>
      </c>
      <c r="AJ8" s="192">
        <f t="shared" si="8"/>
        <v>0.19454545454545416</v>
      </c>
      <c r="AK8" s="265">
        <f t="shared" si="9"/>
        <v>2.2399999999999998</v>
      </c>
      <c r="AL8" s="192">
        <f t="shared" si="10"/>
        <v>5</v>
      </c>
      <c r="AM8" s="192">
        <f t="shared" si="11"/>
        <v>0.74666666666666659</v>
      </c>
      <c r="AN8" s="192">
        <f t="shared" si="12"/>
        <v>1.4933333333333332</v>
      </c>
      <c r="AO8" s="192">
        <f t="shared" si="13"/>
        <v>2</v>
      </c>
    </row>
    <row r="9" spans="1:41" ht="18" customHeight="1">
      <c r="A9" s="1"/>
      <c r="B9" s="288"/>
      <c r="C9" s="289"/>
      <c r="D9" s="45" t="s">
        <v>269</v>
      </c>
      <c r="E9" s="246" t="s">
        <v>270</v>
      </c>
      <c r="F9" s="1"/>
      <c r="G9" s="1"/>
      <c r="H9" s="1"/>
      <c r="I9" s="1"/>
      <c r="J9" s="1"/>
      <c r="K9" s="1"/>
      <c r="L9" s="1"/>
      <c r="M9" s="1"/>
      <c r="N9" s="1"/>
      <c r="O9" s="1"/>
      <c r="P9" s="1"/>
      <c r="Q9" s="1"/>
      <c r="R9" s="1"/>
      <c r="S9" s="1"/>
      <c r="T9" s="1"/>
      <c r="U9" s="1"/>
      <c r="V9" s="55">
        <f t="shared" si="0"/>
        <v>0</v>
      </c>
      <c r="W9" s="38">
        <f t="shared" si="14"/>
        <v>0</v>
      </c>
      <c r="X9" s="38">
        <f t="shared" si="1"/>
        <v>0</v>
      </c>
      <c r="Y9" s="75">
        <v>15</v>
      </c>
      <c r="Z9" s="193">
        <v>7</v>
      </c>
      <c r="AA9" s="161">
        <v>46128</v>
      </c>
      <c r="AB9" s="161">
        <v>46129</v>
      </c>
      <c r="AC9" s="161">
        <v>46132</v>
      </c>
      <c r="AD9" s="213">
        <v>46134</v>
      </c>
      <c r="AE9" s="192">
        <f t="shared" si="3"/>
        <v>0</v>
      </c>
      <c r="AF9" s="192">
        <f t="shared" si="4"/>
        <v>0</v>
      </c>
      <c r="AG9" s="192">
        <f t="shared" si="5"/>
        <v>0</v>
      </c>
      <c r="AH9" s="192">
        <f t="shared" si="6"/>
        <v>5.95</v>
      </c>
      <c r="AI9" s="265">
        <f t="shared" si="7"/>
        <v>0</v>
      </c>
      <c r="AJ9" s="192">
        <f t="shared" si="8"/>
        <v>0</v>
      </c>
      <c r="AK9" s="265">
        <f t="shared" si="9"/>
        <v>1.05</v>
      </c>
      <c r="AL9" s="192">
        <f t="shared" si="10"/>
        <v>0</v>
      </c>
      <c r="AM9" s="192">
        <f t="shared" si="11"/>
        <v>0</v>
      </c>
      <c r="AN9" s="192">
        <f t="shared" si="12"/>
        <v>0</v>
      </c>
      <c r="AO9" s="192">
        <f t="shared" si="13"/>
        <v>0</v>
      </c>
    </row>
    <row r="10" spans="1:41" ht="18" customHeight="1">
      <c r="A10" s="1">
        <v>7</v>
      </c>
      <c r="B10" s="288"/>
      <c r="C10" s="290" t="s">
        <v>271</v>
      </c>
      <c r="D10" s="26" t="s">
        <v>272</v>
      </c>
      <c r="E10" s="240" t="s">
        <v>273</v>
      </c>
      <c r="F10" s="1" t="s">
        <v>262</v>
      </c>
      <c r="G10" s="1"/>
      <c r="H10" s="1"/>
      <c r="I10" s="1"/>
      <c r="J10" s="1"/>
      <c r="K10" s="1"/>
      <c r="L10" s="1"/>
      <c r="M10" s="1"/>
      <c r="N10" s="1"/>
      <c r="O10" s="1"/>
      <c r="P10" s="1">
        <v>13</v>
      </c>
      <c r="Q10" s="1">
        <v>5</v>
      </c>
      <c r="R10" s="1">
        <v>3</v>
      </c>
      <c r="S10" s="1">
        <v>3</v>
      </c>
      <c r="T10" s="1">
        <v>3</v>
      </c>
      <c r="U10" s="1">
        <v>2</v>
      </c>
      <c r="V10" s="55">
        <f t="shared" si="0"/>
        <v>29</v>
      </c>
      <c r="W10" s="38">
        <f t="shared" si="14"/>
        <v>14.5</v>
      </c>
      <c r="X10" s="38">
        <f t="shared" si="1"/>
        <v>31.9</v>
      </c>
      <c r="Y10" s="75">
        <f t="shared" ref="Y10:Y17" si="15">(W10+(4*V10)+X10)/6</f>
        <v>27.066666666666666</v>
      </c>
      <c r="Z10" s="193">
        <f t="shared" ref="Z10:Z17" si="16">Y10/2</f>
        <v>13.533333333333333</v>
      </c>
      <c r="AA10" s="161">
        <v>46143</v>
      </c>
      <c r="AB10" s="161">
        <v>46156</v>
      </c>
      <c r="AC10" s="161">
        <v>46157</v>
      </c>
      <c r="AD10" s="161">
        <v>46164</v>
      </c>
      <c r="AE10" s="192">
        <f t="shared" si="3"/>
        <v>0</v>
      </c>
      <c r="AF10" s="192">
        <f t="shared" si="4"/>
        <v>0</v>
      </c>
      <c r="AG10" s="192">
        <f t="shared" si="5"/>
        <v>0</v>
      </c>
      <c r="AH10" s="192">
        <f t="shared" si="6"/>
        <v>2.8896969696969697</v>
      </c>
      <c r="AI10" s="265">
        <f t="shared" si="7"/>
        <v>0.5</v>
      </c>
      <c r="AJ10" s="192">
        <f t="shared" si="8"/>
        <v>1.0836363636363635</v>
      </c>
      <c r="AK10" s="265">
        <f t="shared" si="9"/>
        <v>2.0299999999999998</v>
      </c>
      <c r="AL10" s="192">
        <f t="shared" si="10"/>
        <v>3</v>
      </c>
      <c r="AM10" s="192">
        <f t="shared" si="11"/>
        <v>0.67666666666666675</v>
      </c>
      <c r="AN10" s="192">
        <f t="shared" si="12"/>
        <v>1.3533333333333335</v>
      </c>
      <c r="AO10" s="192">
        <f t="shared" si="13"/>
        <v>2</v>
      </c>
    </row>
    <row r="11" spans="1:41" ht="18" customHeight="1">
      <c r="A11" s="1">
        <v>8</v>
      </c>
      <c r="B11" s="288"/>
      <c r="C11" s="289"/>
      <c r="D11" s="26" t="s">
        <v>274</v>
      </c>
      <c r="E11" s="240" t="s">
        <v>275</v>
      </c>
      <c r="F11" s="1" t="s">
        <v>262</v>
      </c>
      <c r="G11" s="1"/>
      <c r="H11" s="1"/>
      <c r="I11" s="1"/>
      <c r="J11" s="1"/>
      <c r="K11" s="1"/>
      <c r="L11" s="1"/>
      <c r="M11" s="1"/>
      <c r="N11" s="1"/>
      <c r="O11" s="1"/>
      <c r="P11" s="1">
        <v>51</v>
      </c>
      <c r="Q11" s="1">
        <v>10</v>
      </c>
      <c r="R11" s="1">
        <v>5</v>
      </c>
      <c r="S11" s="1">
        <v>5</v>
      </c>
      <c r="T11" s="1">
        <v>2</v>
      </c>
      <c r="U11" s="1">
        <v>3</v>
      </c>
      <c r="V11" s="55">
        <f t="shared" si="0"/>
        <v>76</v>
      </c>
      <c r="W11" s="38">
        <f t="shared" si="14"/>
        <v>38</v>
      </c>
      <c r="X11" s="38">
        <f t="shared" si="1"/>
        <v>83.6</v>
      </c>
      <c r="Y11" s="75">
        <f t="shared" si="15"/>
        <v>70.933333333333337</v>
      </c>
      <c r="Z11" s="193">
        <f t="shared" si="16"/>
        <v>35.466666666666669</v>
      </c>
      <c r="AA11" s="161">
        <v>46161</v>
      </c>
      <c r="AB11" s="161">
        <v>46202</v>
      </c>
      <c r="AC11" s="161">
        <v>46203</v>
      </c>
      <c r="AD11" s="161">
        <v>46210</v>
      </c>
      <c r="AE11" s="192">
        <f t="shared" si="3"/>
        <v>0</v>
      </c>
      <c r="AF11" s="192">
        <f t="shared" si="4"/>
        <v>0</v>
      </c>
      <c r="AG11" s="192">
        <f t="shared" si="5"/>
        <v>0</v>
      </c>
      <c r="AH11" s="192">
        <f t="shared" si="6"/>
        <v>11.873939393939395</v>
      </c>
      <c r="AI11" s="265">
        <f t="shared" si="7"/>
        <v>0.5</v>
      </c>
      <c r="AJ11" s="192">
        <f t="shared" si="8"/>
        <v>4.4527272727272731</v>
      </c>
      <c r="AK11" s="265">
        <f t="shared" si="9"/>
        <v>5.32</v>
      </c>
      <c r="AL11" s="192">
        <f t="shared" si="10"/>
        <v>5</v>
      </c>
      <c r="AM11" s="192">
        <f t="shared" si="11"/>
        <v>1.7733333333333334</v>
      </c>
      <c r="AN11" s="192">
        <f t="shared" si="12"/>
        <v>3.5466666666666669</v>
      </c>
      <c r="AO11" s="192">
        <f t="shared" si="13"/>
        <v>3</v>
      </c>
    </row>
    <row r="12" spans="1:41" ht="18" customHeight="1">
      <c r="A12" s="1">
        <v>9</v>
      </c>
      <c r="B12" s="288"/>
      <c r="C12" s="23" t="s">
        <v>276</v>
      </c>
      <c r="D12" s="45" t="s">
        <v>277</v>
      </c>
      <c r="E12" s="240" t="s">
        <v>278</v>
      </c>
      <c r="F12" s="1" t="s">
        <v>262</v>
      </c>
      <c r="G12" s="1"/>
      <c r="H12" s="1"/>
      <c r="I12" s="1"/>
      <c r="J12" s="1"/>
      <c r="K12" s="1"/>
      <c r="L12" s="1"/>
      <c r="M12" s="1">
        <v>0</v>
      </c>
      <c r="N12" s="1">
        <v>0</v>
      </c>
      <c r="O12" s="1">
        <v>3</v>
      </c>
      <c r="P12" s="1">
        <v>50</v>
      </c>
      <c r="Q12" s="1">
        <v>10</v>
      </c>
      <c r="R12" s="1">
        <v>5</v>
      </c>
      <c r="S12" s="1">
        <v>5</v>
      </c>
      <c r="T12" s="1">
        <v>10</v>
      </c>
      <c r="U12" s="1">
        <v>3</v>
      </c>
      <c r="V12" s="55">
        <f t="shared" si="0"/>
        <v>86</v>
      </c>
      <c r="W12" s="38">
        <f t="shared" si="14"/>
        <v>43</v>
      </c>
      <c r="X12" s="38">
        <f t="shared" si="1"/>
        <v>94.6</v>
      </c>
      <c r="Y12" s="75">
        <f t="shared" si="15"/>
        <v>80.266666666666666</v>
      </c>
      <c r="Z12" s="193">
        <f t="shared" si="16"/>
        <v>40.133333333333333</v>
      </c>
      <c r="AA12" s="161">
        <v>46204</v>
      </c>
      <c r="AB12" s="161">
        <v>46247</v>
      </c>
      <c r="AC12" s="161">
        <v>46251</v>
      </c>
      <c r="AD12" s="161">
        <v>46260</v>
      </c>
      <c r="AE12" s="192">
        <f t="shared" si="3"/>
        <v>0</v>
      </c>
      <c r="AF12" s="192">
        <f t="shared" si="4"/>
        <v>2.0066666666666668</v>
      </c>
      <c r="AG12" s="192">
        <f t="shared" si="5"/>
        <v>4.0133333333333336</v>
      </c>
      <c r="AH12" s="192">
        <f t="shared" si="6"/>
        <v>9.8715151515151494</v>
      </c>
      <c r="AI12" s="265">
        <f t="shared" si="7"/>
        <v>0.5</v>
      </c>
      <c r="AJ12" s="192">
        <f t="shared" si="8"/>
        <v>3.7018181818181808</v>
      </c>
      <c r="AK12" s="265">
        <f t="shared" si="9"/>
        <v>6.02</v>
      </c>
      <c r="AL12" s="192">
        <f t="shared" si="10"/>
        <v>5</v>
      </c>
      <c r="AM12" s="192">
        <f t="shared" si="11"/>
        <v>2.0066666666666668</v>
      </c>
      <c r="AN12" s="192">
        <f t="shared" si="12"/>
        <v>4.0133333333333336</v>
      </c>
      <c r="AO12" s="192">
        <f t="shared" si="13"/>
        <v>3</v>
      </c>
    </row>
    <row r="13" spans="1:41" ht="18" customHeight="1">
      <c r="A13" s="1">
        <v>10</v>
      </c>
      <c r="B13" s="289"/>
      <c r="C13" s="23" t="s">
        <v>279</v>
      </c>
      <c r="D13" s="186" t="s">
        <v>280</v>
      </c>
      <c r="E13" s="186"/>
      <c r="F13" s="1" t="s">
        <v>262</v>
      </c>
      <c r="G13" s="1"/>
      <c r="H13" s="1"/>
      <c r="I13" s="1"/>
      <c r="J13" s="1"/>
      <c r="K13" s="1"/>
      <c r="L13" s="1"/>
      <c r="M13" s="1"/>
      <c r="N13" s="1"/>
      <c r="O13" s="1"/>
      <c r="P13" s="1"/>
      <c r="Q13" s="1"/>
      <c r="R13" s="1"/>
      <c r="S13" s="1"/>
      <c r="T13" s="1"/>
      <c r="U13" s="1"/>
      <c r="V13" s="55">
        <f t="shared" si="0"/>
        <v>0</v>
      </c>
      <c r="W13" s="38">
        <f t="shared" si="14"/>
        <v>0</v>
      </c>
      <c r="X13" s="38">
        <f t="shared" si="1"/>
        <v>0</v>
      </c>
      <c r="Y13" s="75">
        <f t="shared" si="15"/>
        <v>0</v>
      </c>
      <c r="Z13" s="193">
        <f t="shared" si="16"/>
        <v>0</v>
      </c>
      <c r="AA13" s="161"/>
      <c r="AB13" s="161"/>
      <c r="AC13" s="161"/>
      <c r="AD13" s="161"/>
      <c r="AE13" s="192">
        <f t="shared" si="3"/>
        <v>0</v>
      </c>
      <c r="AF13" s="192">
        <f t="shared" si="4"/>
        <v>0</v>
      </c>
      <c r="AG13" s="192">
        <f t="shared" si="5"/>
        <v>0</v>
      </c>
      <c r="AH13" s="192">
        <f t="shared" si="6"/>
        <v>0</v>
      </c>
      <c r="AI13" s="265">
        <f t="shared" si="7"/>
        <v>0</v>
      </c>
      <c r="AJ13" s="192">
        <f t="shared" si="8"/>
        <v>0</v>
      </c>
      <c r="AK13" s="265">
        <f t="shared" si="9"/>
        <v>0</v>
      </c>
      <c r="AL13" s="192">
        <f t="shared" si="10"/>
        <v>0</v>
      </c>
      <c r="AM13" s="192">
        <f t="shared" si="11"/>
        <v>0</v>
      </c>
      <c r="AN13" s="192">
        <f t="shared" si="12"/>
        <v>0</v>
      </c>
      <c r="AO13" s="192">
        <f t="shared" si="13"/>
        <v>0</v>
      </c>
    </row>
    <row r="14" spans="1:41" ht="18" customHeight="1">
      <c r="A14" s="1">
        <v>11</v>
      </c>
      <c r="B14" s="270" t="s">
        <v>146</v>
      </c>
      <c r="C14" s="268"/>
      <c r="D14" s="26"/>
      <c r="E14" s="26"/>
      <c r="F14" s="1"/>
      <c r="G14" s="1"/>
      <c r="H14" s="1"/>
      <c r="I14" s="1"/>
      <c r="J14" s="1"/>
      <c r="K14" s="1"/>
      <c r="L14" s="1"/>
      <c r="M14" s="1"/>
      <c r="N14" s="1"/>
      <c r="O14" s="1"/>
      <c r="P14" s="1"/>
      <c r="Q14" s="1"/>
      <c r="R14" s="1"/>
      <c r="S14" s="1"/>
      <c r="T14" s="1"/>
      <c r="U14" s="1"/>
      <c r="V14" s="55">
        <f t="shared" si="0"/>
        <v>0</v>
      </c>
      <c r="W14" s="38">
        <f t="shared" si="14"/>
        <v>0</v>
      </c>
      <c r="X14" s="38">
        <f t="shared" si="1"/>
        <v>0</v>
      </c>
      <c r="Y14" s="75">
        <f t="shared" si="15"/>
        <v>0</v>
      </c>
      <c r="Z14" s="193">
        <f t="shared" si="16"/>
        <v>0</v>
      </c>
      <c r="AA14" s="161"/>
      <c r="AB14" s="161"/>
      <c r="AC14" s="161"/>
      <c r="AD14" s="161"/>
      <c r="AE14" s="192">
        <f t="shared" si="3"/>
        <v>0</v>
      </c>
      <c r="AF14" s="192">
        <f t="shared" si="4"/>
        <v>0</v>
      </c>
      <c r="AG14" s="192">
        <f t="shared" si="5"/>
        <v>0</v>
      </c>
      <c r="AH14" s="192">
        <f t="shared" si="6"/>
        <v>0</v>
      </c>
      <c r="AI14" s="265">
        <f t="shared" si="7"/>
        <v>0</v>
      </c>
      <c r="AJ14" s="192">
        <f t="shared" si="8"/>
        <v>0</v>
      </c>
      <c r="AK14" s="265">
        <f t="shared" si="9"/>
        <v>0</v>
      </c>
      <c r="AL14" s="192">
        <f t="shared" si="10"/>
        <v>0</v>
      </c>
      <c r="AM14" s="192">
        <f t="shared" si="11"/>
        <v>0</v>
      </c>
      <c r="AN14" s="192">
        <f t="shared" si="12"/>
        <v>0</v>
      </c>
      <c r="AO14" s="192">
        <f t="shared" si="13"/>
        <v>0</v>
      </c>
    </row>
    <row r="15" spans="1:41" ht="18" customHeight="1">
      <c r="A15" s="1">
        <v>12</v>
      </c>
      <c r="B15" s="270" t="s">
        <v>164</v>
      </c>
      <c r="C15" s="270" t="s">
        <v>197</v>
      </c>
      <c r="D15" s="179" t="s">
        <v>281</v>
      </c>
      <c r="E15" s="241" t="s">
        <v>282</v>
      </c>
      <c r="F15" s="1" t="s">
        <v>65</v>
      </c>
      <c r="G15" s="1"/>
      <c r="H15" s="1"/>
      <c r="I15" s="1"/>
      <c r="J15" s="1"/>
      <c r="K15" s="1"/>
      <c r="L15" s="1"/>
      <c r="M15" s="1">
        <v>0</v>
      </c>
      <c r="N15" s="1">
        <v>0</v>
      </c>
      <c r="O15" s="1">
        <v>0</v>
      </c>
      <c r="P15" s="1">
        <v>2</v>
      </c>
      <c r="Q15" s="1">
        <v>3</v>
      </c>
      <c r="R15" s="1">
        <v>1</v>
      </c>
      <c r="S15" s="1">
        <v>2</v>
      </c>
      <c r="T15" s="1">
        <v>2</v>
      </c>
      <c r="U15" s="1">
        <v>1</v>
      </c>
      <c r="V15" s="55">
        <f t="shared" si="0"/>
        <v>11</v>
      </c>
      <c r="W15" s="38">
        <f t="shared" si="14"/>
        <v>5.5</v>
      </c>
      <c r="X15" s="38">
        <f t="shared" si="1"/>
        <v>12.1</v>
      </c>
      <c r="Y15" s="75">
        <f t="shared" si="15"/>
        <v>10.266666666666667</v>
      </c>
      <c r="Z15" s="193">
        <f t="shared" si="16"/>
        <v>5.1333333333333337</v>
      </c>
      <c r="AA15" s="161"/>
      <c r="AB15" s="161"/>
      <c r="AC15" s="161"/>
      <c r="AD15" s="213">
        <v>46132</v>
      </c>
      <c r="AE15" s="192">
        <f t="shared" si="3"/>
        <v>0</v>
      </c>
      <c r="AF15" s="192">
        <f t="shared" si="4"/>
        <v>0.25666666666666671</v>
      </c>
      <c r="AG15" s="192">
        <f t="shared" si="5"/>
        <v>0.51333333333333342</v>
      </c>
      <c r="AH15" s="192">
        <f t="shared" si="6"/>
        <v>0.23515151515151492</v>
      </c>
      <c r="AI15" s="265">
        <f t="shared" si="7"/>
        <v>0.5</v>
      </c>
      <c r="AJ15" s="192">
        <f t="shared" si="8"/>
        <v>8.8181818181818084E-2</v>
      </c>
      <c r="AK15" s="265">
        <f t="shared" si="9"/>
        <v>0.77</v>
      </c>
      <c r="AL15" s="192">
        <f t="shared" si="10"/>
        <v>1</v>
      </c>
      <c r="AM15" s="192">
        <f t="shared" si="11"/>
        <v>0.25666666666666671</v>
      </c>
      <c r="AN15" s="192">
        <f t="shared" si="12"/>
        <v>0.51333333333333342</v>
      </c>
      <c r="AO15" s="192">
        <f t="shared" si="13"/>
        <v>1</v>
      </c>
    </row>
    <row r="16" spans="1:41" ht="18" customHeight="1">
      <c r="A16" s="1">
        <v>13</v>
      </c>
      <c r="B16" s="1" t="s">
        <v>283</v>
      </c>
      <c r="C16" s="1" t="s">
        <v>283</v>
      </c>
      <c r="D16" s="1" t="s">
        <v>284</v>
      </c>
      <c r="E16" s="1"/>
      <c r="F16" s="1" t="s">
        <v>65</v>
      </c>
      <c r="G16" s="1"/>
      <c r="H16" s="1"/>
      <c r="I16" s="1"/>
      <c r="J16" s="1"/>
      <c r="K16" s="1"/>
      <c r="L16" s="1"/>
      <c r="M16" s="1"/>
      <c r="N16" s="1"/>
      <c r="O16" s="1"/>
      <c r="P16" s="1"/>
      <c r="Q16" s="1"/>
      <c r="R16" s="1"/>
      <c r="S16" s="1"/>
      <c r="T16" s="1"/>
      <c r="U16" s="1"/>
      <c r="V16" s="55">
        <f t="shared" si="0"/>
        <v>0</v>
      </c>
      <c r="W16" s="38">
        <f t="shared" si="14"/>
        <v>0</v>
      </c>
      <c r="X16" s="38">
        <f t="shared" si="1"/>
        <v>0</v>
      </c>
      <c r="Y16" s="75">
        <f t="shared" si="15"/>
        <v>0</v>
      </c>
      <c r="Z16" s="193">
        <f t="shared" si="16"/>
        <v>0</v>
      </c>
      <c r="AA16" s="161"/>
      <c r="AB16" s="161"/>
      <c r="AC16" s="161"/>
      <c r="AD16" s="161"/>
      <c r="AE16" s="192">
        <f t="shared" si="3"/>
        <v>0</v>
      </c>
      <c r="AF16" s="192">
        <f t="shared" si="4"/>
        <v>0</v>
      </c>
      <c r="AG16" s="192">
        <f t="shared" si="5"/>
        <v>0</v>
      </c>
      <c r="AH16" s="192">
        <f t="shared" si="6"/>
        <v>0</v>
      </c>
      <c r="AI16" s="265">
        <f t="shared" si="7"/>
        <v>0</v>
      </c>
      <c r="AJ16" s="192">
        <f t="shared" si="8"/>
        <v>0</v>
      </c>
      <c r="AK16" s="265">
        <f t="shared" si="9"/>
        <v>0</v>
      </c>
      <c r="AL16" s="192">
        <f t="shared" si="10"/>
        <v>0</v>
      </c>
      <c r="AM16" s="192">
        <f t="shared" si="11"/>
        <v>0</v>
      </c>
      <c r="AN16" s="192">
        <f t="shared" si="12"/>
        <v>0</v>
      </c>
      <c r="AO16" s="192">
        <f t="shared" si="13"/>
        <v>0</v>
      </c>
    </row>
    <row r="17" spans="1:42" ht="18" customHeight="1">
      <c r="A17" s="1">
        <v>14</v>
      </c>
      <c r="B17" s="270" t="s">
        <v>228</v>
      </c>
      <c r="C17" s="1" t="s">
        <v>285</v>
      </c>
      <c r="D17" s="214" t="s">
        <v>286</v>
      </c>
      <c r="E17" s="241" t="s">
        <v>287</v>
      </c>
      <c r="F17" s="1" t="s">
        <v>262</v>
      </c>
      <c r="G17" s="1"/>
      <c r="H17" s="1"/>
      <c r="I17" s="1"/>
      <c r="J17" s="1"/>
      <c r="K17" s="1"/>
      <c r="L17" s="1"/>
      <c r="M17" s="1">
        <v>0</v>
      </c>
      <c r="N17" s="1">
        <v>0</v>
      </c>
      <c r="O17" s="1">
        <v>0</v>
      </c>
      <c r="P17" s="1">
        <v>30</v>
      </c>
      <c r="Q17" s="1">
        <v>4</v>
      </c>
      <c r="R17" s="1">
        <v>0</v>
      </c>
      <c r="S17" s="1">
        <v>0</v>
      </c>
      <c r="T17" s="1">
        <v>0</v>
      </c>
      <c r="U17" s="1">
        <v>2</v>
      </c>
      <c r="V17" s="55">
        <f t="shared" si="0"/>
        <v>36</v>
      </c>
      <c r="W17" s="38">
        <f t="shared" si="14"/>
        <v>18</v>
      </c>
      <c r="X17" s="38">
        <f t="shared" si="1"/>
        <v>39.6</v>
      </c>
      <c r="Y17" s="75">
        <f t="shared" si="15"/>
        <v>33.6</v>
      </c>
      <c r="Z17" s="193">
        <f t="shared" si="16"/>
        <v>16.8</v>
      </c>
      <c r="AA17" s="161">
        <v>46132</v>
      </c>
      <c r="AB17" s="161">
        <v>46142</v>
      </c>
      <c r="AC17" s="161">
        <v>46143</v>
      </c>
      <c r="AD17" s="161">
        <v>46150</v>
      </c>
      <c r="AE17" s="192">
        <f t="shared" si="3"/>
        <v>0</v>
      </c>
      <c r="AF17" s="192">
        <f t="shared" si="4"/>
        <v>0.84000000000000008</v>
      </c>
      <c r="AG17" s="192">
        <f t="shared" si="5"/>
        <v>1.6800000000000002</v>
      </c>
      <c r="AH17" s="192">
        <f t="shared" si="6"/>
        <v>4.9018181818181832</v>
      </c>
      <c r="AI17" s="265">
        <f t="shared" si="7"/>
        <v>0.5</v>
      </c>
      <c r="AJ17" s="192">
        <f t="shared" si="8"/>
        <v>1.8381818181818186</v>
      </c>
      <c r="AK17" s="265">
        <f t="shared" si="9"/>
        <v>2.52</v>
      </c>
      <c r="AL17" s="192">
        <f t="shared" si="10"/>
        <v>0</v>
      </c>
      <c r="AM17" s="192">
        <f t="shared" si="11"/>
        <v>0.84000000000000008</v>
      </c>
      <c r="AN17" s="192">
        <f t="shared" si="12"/>
        <v>1.6800000000000002</v>
      </c>
      <c r="AO17" s="192">
        <f t="shared" si="13"/>
        <v>2</v>
      </c>
      <c r="AP17" t="s">
        <v>288</v>
      </c>
    </row>
    <row r="18" spans="1:42" ht="18" customHeight="1">
      <c r="V18" s="123">
        <f>SUM(V3:V17)*Settings!I2</f>
        <v>0</v>
      </c>
      <c r="W18" s="38">
        <f t="shared" si="14"/>
        <v>0</v>
      </c>
      <c r="X18" s="38">
        <f>V18 + (V18 * (10%))</f>
        <v>0</v>
      </c>
      <c r="Y18" s="75">
        <f>SUM(Y3:Y17)*Settings!I2</f>
        <v>0</v>
      </c>
      <c r="Z18" s="198">
        <f>SUM(Z3:Z17)*Settings!I2</f>
        <v>0</v>
      </c>
      <c r="AA18" s="182"/>
      <c r="AB18" s="182"/>
      <c r="AC18" s="182"/>
      <c r="AD18" s="182"/>
      <c r="AG18">
        <f t="shared" si="5"/>
        <v>0</v>
      </c>
      <c r="AH18">
        <f t="shared" si="6"/>
        <v>0</v>
      </c>
      <c r="AI18" s="263">
        <f t="shared" si="7"/>
        <v>0</v>
      </c>
      <c r="AJ18">
        <f t="shared" si="8"/>
        <v>0</v>
      </c>
      <c r="AK18" s="263">
        <f t="shared" si="9"/>
        <v>0</v>
      </c>
      <c r="AL18">
        <f t="shared" si="10"/>
        <v>0</v>
      </c>
      <c r="AM18">
        <f t="shared" si="11"/>
        <v>0</v>
      </c>
      <c r="AN18">
        <f t="shared" si="12"/>
        <v>0</v>
      </c>
      <c r="AO18">
        <f t="shared" si="13"/>
        <v>0</v>
      </c>
    </row>
  </sheetData>
  <mergeCells count="6">
    <mergeCell ref="A1:D1"/>
    <mergeCell ref="W1:AO1"/>
    <mergeCell ref="M1:V1"/>
    <mergeCell ref="C10:C11"/>
    <mergeCell ref="C5:C9"/>
    <mergeCell ref="B4:B13"/>
  </mergeCells>
  <hyperlinks>
    <hyperlink ref="E4" r:id="rId1" xr:uid="{00000000-0004-0000-0400-000000000000}"/>
    <hyperlink ref="E5" r:id="rId2" xr:uid="{00000000-0004-0000-0400-000001000000}"/>
    <hyperlink ref="E6" r:id="rId3" xr:uid="{00000000-0004-0000-0400-000002000000}"/>
    <hyperlink ref="E7" r:id="rId4" xr:uid="{00000000-0004-0000-0400-000003000000}"/>
    <hyperlink ref="E8" r:id="rId5" xr:uid="{00000000-0004-0000-0400-000004000000}"/>
    <hyperlink ref="E9" r:id="rId6" xr:uid="{00000000-0004-0000-0400-000005000000}"/>
    <hyperlink ref="E10" r:id="rId7" xr:uid="{00000000-0004-0000-0400-000006000000}"/>
    <hyperlink ref="E11" r:id="rId8" xr:uid="{00000000-0004-0000-0400-000007000000}"/>
    <hyperlink ref="E12" r:id="rId9" xr:uid="{00000000-0004-0000-0400-000008000000}"/>
    <hyperlink ref="E15" r:id="rId10" xr:uid="{00000000-0004-0000-0400-000009000000}"/>
    <hyperlink ref="E17" r:id="rId11" xr:uid="{00000000-0004-0000-0400-00000A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C9"/>
  <sheetViews>
    <sheetView workbookViewId="0">
      <selection activeCell="C9" sqref="C9"/>
    </sheetView>
  </sheetViews>
  <sheetFormatPr defaultRowHeight="14.4"/>
  <sheetData>
    <row r="2" spans="2:3">
      <c r="C2" t="s">
        <v>289</v>
      </c>
    </row>
    <row r="3" spans="2:3">
      <c r="B3" t="s">
        <v>290</v>
      </c>
      <c r="C3" t="s">
        <v>291</v>
      </c>
    </row>
    <row r="4" spans="2:3">
      <c r="C4" t="s">
        <v>292</v>
      </c>
    </row>
    <row r="5" spans="2:3">
      <c r="C5" t="s">
        <v>293</v>
      </c>
    </row>
    <row r="9" spans="2:3">
      <c r="B9" t="s">
        <v>294</v>
      </c>
      <c r="C9" t="s">
        <v>295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25"/>
  <sheetViews>
    <sheetView workbookViewId="0">
      <selection activeCell="A5" sqref="A5"/>
    </sheetView>
  </sheetViews>
  <sheetFormatPr defaultRowHeight="14.4"/>
  <cols>
    <col min="1" max="1" width="33.44140625" style="276" customWidth="1"/>
    <col min="4" max="4" width="13.6640625" style="276" customWidth="1"/>
    <col min="5" max="5" width="12.88671875" style="276" customWidth="1"/>
    <col min="12" max="12" width="36.5546875" style="276" bestFit="1" customWidth="1"/>
    <col min="14" max="14" width="13.88671875" style="276" bestFit="1" customWidth="1"/>
  </cols>
  <sheetData>
    <row r="1" spans="1:14">
      <c r="A1" s="8" t="s">
        <v>296</v>
      </c>
      <c r="B1" s="9" t="s">
        <v>297</v>
      </c>
      <c r="C1" s="10">
        <v>30</v>
      </c>
      <c r="D1" s="11" t="s">
        <v>249</v>
      </c>
      <c r="E1" s="11" t="s">
        <v>249</v>
      </c>
      <c r="F1" s="12">
        <v>3</v>
      </c>
      <c r="G1" s="13"/>
      <c r="H1" t="s">
        <v>298</v>
      </c>
    </row>
    <row r="2" spans="1:14">
      <c r="A2" s="8" t="s">
        <v>296</v>
      </c>
      <c r="B2" s="9" t="s">
        <v>299</v>
      </c>
      <c r="C2" s="10">
        <v>5</v>
      </c>
      <c r="D2" s="11" t="s">
        <v>249</v>
      </c>
      <c r="E2" s="11"/>
      <c r="F2" s="12"/>
      <c r="G2" s="13"/>
      <c r="H2" t="s">
        <v>298</v>
      </c>
      <c r="L2" s="18" t="s">
        <v>296</v>
      </c>
      <c r="M2">
        <v>35</v>
      </c>
      <c r="N2" t="s">
        <v>298</v>
      </c>
    </row>
    <row r="3" spans="1:14" ht="28.95" customHeight="1">
      <c r="A3" s="8" t="s">
        <v>300</v>
      </c>
      <c r="B3" s="9" t="s">
        <v>297</v>
      </c>
      <c r="C3" s="10">
        <v>15</v>
      </c>
      <c r="D3" s="11" t="s">
        <v>249</v>
      </c>
      <c r="E3" s="11" t="s">
        <v>249</v>
      </c>
      <c r="F3" s="12">
        <v>3</v>
      </c>
      <c r="G3" s="13"/>
      <c r="H3" t="s">
        <v>61</v>
      </c>
      <c r="L3" s="18" t="s">
        <v>300</v>
      </c>
      <c r="M3">
        <v>20</v>
      </c>
      <c r="N3" t="s">
        <v>61</v>
      </c>
    </row>
    <row r="4" spans="1:14" ht="28.95" customHeight="1">
      <c r="A4" s="8" t="s">
        <v>300</v>
      </c>
      <c r="B4" s="9" t="s">
        <v>299</v>
      </c>
      <c r="C4" s="10">
        <v>5</v>
      </c>
      <c r="D4" s="11"/>
      <c r="E4" s="11"/>
      <c r="F4" s="12"/>
      <c r="G4" s="13"/>
      <c r="H4" t="s">
        <v>61</v>
      </c>
      <c r="L4" s="18" t="s">
        <v>301</v>
      </c>
      <c r="M4">
        <v>23</v>
      </c>
      <c r="N4" t="s">
        <v>61</v>
      </c>
    </row>
    <row r="5" spans="1:14" ht="57.6" customHeight="1">
      <c r="A5" s="8" t="s">
        <v>301</v>
      </c>
      <c r="B5" s="9" t="s">
        <v>297</v>
      </c>
      <c r="C5" s="10">
        <v>18</v>
      </c>
      <c r="D5" s="11" t="s">
        <v>249</v>
      </c>
      <c r="E5" s="11" t="s">
        <v>249</v>
      </c>
      <c r="F5" s="12">
        <v>3</v>
      </c>
      <c r="G5" s="13"/>
      <c r="H5" t="s">
        <v>61</v>
      </c>
      <c r="L5" s="18" t="s">
        <v>302</v>
      </c>
      <c r="M5">
        <v>29</v>
      </c>
      <c r="N5" t="s">
        <v>61</v>
      </c>
    </row>
    <row r="6" spans="1:14">
      <c r="A6" s="8" t="s">
        <v>301</v>
      </c>
      <c r="B6" s="9" t="s">
        <v>299</v>
      </c>
      <c r="C6" s="10">
        <v>5</v>
      </c>
      <c r="D6" s="11"/>
      <c r="E6" s="11"/>
      <c r="F6" s="12"/>
      <c r="G6" s="13"/>
      <c r="H6" t="s">
        <v>61</v>
      </c>
      <c r="L6" s="18" t="s">
        <v>303</v>
      </c>
      <c r="M6">
        <v>50</v>
      </c>
      <c r="N6" t="s">
        <v>298</v>
      </c>
    </row>
    <row r="7" spans="1:14" ht="43.2" customHeight="1">
      <c r="A7" s="8" t="s">
        <v>302</v>
      </c>
      <c r="B7" s="9" t="s">
        <v>297</v>
      </c>
      <c r="C7" s="10">
        <v>24</v>
      </c>
      <c r="D7" s="11" t="s">
        <v>249</v>
      </c>
      <c r="E7" s="11" t="s">
        <v>249</v>
      </c>
      <c r="F7" s="12">
        <v>3</v>
      </c>
      <c r="G7" s="13"/>
      <c r="H7" t="s">
        <v>61</v>
      </c>
      <c r="L7" s="19" t="s">
        <v>304</v>
      </c>
      <c r="N7" t="s">
        <v>164</v>
      </c>
    </row>
    <row r="8" spans="1:14" ht="28.95" customHeight="1">
      <c r="A8" s="8" t="s">
        <v>302</v>
      </c>
      <c r="B8" s="9" t="s">
        <v>299</v>
      </c>
      <c r="C8" s="10">
        <v>5</v>
      </c>
      <c r="D8" s="11"/>
      <c r="E8" s="11"/>
      <c r="F8" s="12"/>
      <c r="G8" s="13"/>
      <c r="H8" t="s">
        <v>61</v>
      </c>
      <c r="L8" s="19" t="s">
        <v>305</v>
      </c>
      <c r="N8" t="s">
        <v>306</v>
      </c>
    </row>
    <row r="9" spans="1:14">
      <c r="A9" s="8" t="s">
        <v>303</v>
      </c>
      <c r="B9" s="9" t="s">
        <v>297</v>
      </c>
      <c r="C9" s="10">
        <v>45</v>
      </c>
      <c r="D9" s="11" t="s">
        <v>249</v>
      </c>
      <c r="E9" s="11" t="s">
        <v>249</v>
      </c>
      <c r="F9" s="12">
        <v>3</v>
      </c>
      <c r="G9" s="13"/>
      <c r="H9" t="s">
        <v>298</v>
      </c>
      <c r="L9" s="19" t="s">
        <v>307</v>
      </c>
      <c r="N9" t="s">
        <v>306</v>
      </c>
    </row>
    <row r="10" spans="1:14">
      <c r="A10" s="8" t="s">
        <v>303</v>
      </c>
      <c r="B10" s="9" t="s">
        <v>299</v>
      </c>
      <c r="C10" s="10">
        <v>5</v>
      </c>
      <c r="D10" s="11"/>
      <c r="E10" s="11"/>
      <c r="F10" s="12"/>
      <c r="G10" s="13"/>
      <c r="H10" t="s">
        <v>298</v>
      </c>
      <c r="L10" s="20" t="s">
        <v>308</v>
      </c>
      <c r="M10" s="21"/>
      <c r="N10" s="21" t="s">
        <v>61</v>
      </c>
    </row>
    <row r="11" spans="1:14" ht="28.95" customHeight="1">
      <c r="A11" s="8" t="s">
        <v>304</v>
      </c>
      <c r="B11" s="9" t="s">
        <v>297</v>
      </c>
      <c r="C11" s="10">
        <v>6</v>
      </c>
      <c r="D11" s="11" t="s">
        <v>249</v>
      </c>
      <c r="E11" s="11" t="s">
        <v>249</v>
      </c>
      <c r="F11" s="12">
        <v>3</v>
      </c>
      <c r="G11" s="13"/>
      <c r="H11" t="s">
        <v>298</v>
      </c>
      <c r="L11" s="22" t="s">
        <v>309</v>
      </c>
      <c r="M11" s="21"/>
      <c r="N11" s="21" t="s">
        <v>164</v>
      </c>
    </row>
    <row r="12" spans="1:14">
      <c r="A12" s="8" t="s">
        <v>304</v>
      </c>
      <c r="B12" s="9" t="s">
        <v>299</v>
      </c>
      <c r="C12" s="10">
        <v>5</v>
      </c>
      <c r="D12" s="11"/>
      <c r="E12" s="11"/>
      <c r="F12" s="12"/>
      <c r="G12" s="13"/>
      <c r="H12" t="s">
        <v>298</v>
      </c>
    </row>
    <row r="13" spans="1:14">
      <c r="A13" s="8" t="s">
        <v>305</v>
      </c>
      <c r="B13" s="9" t="s">
        <v>297</v>
      </c>
      <c r="C13" s="10">
        <v>60</v>
      </c>
      <c r="D13" s="11" t="s">
        <v>249</v>
      </c>
      <c r="E13" s="11" t="s">
        <v>249</v>
      </c>
      <c r="F13" s="12">
        <v>3</v>
      </c>
      <c r="G13" s="13"/>
      <c r="H13" t="s">
        <v>164</v>
      </c>
    </row>
    <row r="14" spans="1:14">
      <c r="A14" s="8" t="s">
        <v>305</v>
      </c>
      <c r="B14" s="9" t="s">
        <v>299</v>
      </c>
      <c r="C14" s="10">
        <v>5</v>
      </c>
      <c r="D14" s="11"/>
      <c r="E14" s="11"/>
      <c r="F14" s="12"/>
      <c r="G14" s="13"/>
      <c r="H14" t="s">
        <v>164</v>
      </c>
    </row>
    <row r="15" spans="1:14">
      <c r="A15" s="14" t="s">
        <v>307</v>
      </c>
      <c r="B15" s="15" t="s">
        <v>297</v>
      </c>
      <c r="C15" s="15">
        <v>45</v>
      </c>
      <c r="D15" s="11"/>
      <c r="E15" s="11"/>
      <c r="F15" s="16">
        <v>3</v>
      </c>
      <c r="G15" s="13"/>
      <c r="H15" t="s">
        <v>298</v>
      </c>
    </row>
    <row r="16" spans="1:14">
      <c r="A16" s="14" t="s">
        <v>307</v>
      </c>
      <c r="B16" s="15" t="s">
        <v>40</v>
      </c>
      <c r="C16" s="15" t="s">
        <v>249</v>
      </c>
      <c r="D16" s="15" t="s">
        <v>249</v>
      </c>
      <c r="E16" s="15" t="s">
        <v>249</v>
      </c>
      <c r="F16" s="16" t="s">
        <v>249</v>
      </c>
      <c r="G16" s="13"/>
      <c r="H16" t="s">
        <v>298</v>
      </c>
    </row>
    <row r="17" spans="1:8">
      <c r="A17" s="14" t="s">
        <v>307</v>
      </c>
      <c r="B17" s="15" t="s">
        <v>299</v>
      </c>
      <c r="C17" s="15">
        <v>5</v>
      </c>
      <c r="D17" s="15" t="s">
        <v>249</v>
      </c>
      <c r="E17" s="15" t="s">
        <v>249</v>
      </c>
      <c r="F17" s="16" t="s">
        <v>249</v>
      </c>
      <c r="G17" s="13"/>
      <c r="H17" t="s">
        <v>298</v>
      </c>
    </row>
    <row r="18" spans="1:8" ht="28.95" customHeight="1">
      <c r="A18" s="14" t="s">
        <v>310</v>
      </c>
      <c r="B18" s="15"/>
      <c r="C18" s="15">
        <v>3</v>
      </c>
      <c r="D18" s="17">
        <v>46031</v>
      </c>
      <c r="E18" s="17">
        <v>46035</v>
      </c>
      <c r="F18" s="16">
        <v>1</v>
      </c>
      <c r="G18" s="13"/>
      <c r="H18" t="s">
        <v>298</v>
      </c>
    </row>
    <row r="19" spans="1:8">
      <c r="A19" s="8" t="s">
        <v>308</v>
      </c>
      <c r="B19" s="9" t="s">
        <v>297</v>
      </c>
      <c r="C19" s="10">
        <v>75</v>
      </c>
      <c r="D19" s="15" t="s">
        <v>249</v>
      </c>
      <c r="E19" s="15" t="s">
        <v>249</v>
      </c>
      <c r="F19" s="12">
        <v>3</v>
      </c>
      <c r="G19" s="13"/>
      <c r="H19" t="s">
        <v>298</v>
      </c>
    </row>
    <row r="20" spans="1:8">
      <c r="A20" s="8" t="s">
        <v>308</v>
      </c>
      <c r="B20" s="15" t="s">
        <v>299</v>
      </c>
      <c r="C20" s="15">
        <v>5</v>
      </c>
      <c r="D20" s="15"/>
      <c r="E20" s="15"/>
      <c r="F20" s="12"/>
      <c r="G20" s="13"/>
      <c r="H20" t="s">
        <v>298</v>
      </c>
    </row>
    <row r="21" spans="1:8" ht="28.95" customHeight="1">
      <c r="A21" s="14" t="s">
        <v>309</v>
      </c>
      <c r="B21" s="15" t="s">
        <v>297</v>
      </c>
      <c r="C21" s="15">
        <v>12</v>
      </c>
      <c r="D21" s="17">
        <v>46062</v>
      </c>
      <c r="E21" s="17">
        <v>46065</v>
      </c>
      <c r="F21" s="16">
        <v>3</v>
      </c>
      <c r="G21" s="13"/>
      <c r="H21" t="s">
        <v>298</v>
      </c>
    </row>
    <row r="22" spans="1:8" ht="28.95" customHeight="1">
      <c r="A22" s="14" t="s">
        <v>309</v>
      </c>
      <c r="B22" s="15" t="s">
        <v>40</v>
      </c>
      <c r="C22" s="15">
        <v>4</v>
      </c>
      <c r="D22" s="17">
        <v>46066</v>
      </c>
      <c r="E22" s="17">
        <v>46072</v>
      </c>
      <c r="F22" s="16">
        <v>1</v>
      </c>
      <c r="G22" s="13"/>
      <c r="H22" t="s">
        <v>298</v>
      </c>
    </row>
    <row r="23" spans="1:8" ht="28.95" customHeight="1">
      <c r="A23" s="14" t="s">
        <v>309</v>
      </c>
      <c r="B23" s="15" t="s">
        <v>299</v>
      </c>
      <c r="C23" s="15">
        <v>5</v>
      </c>
      <c r="D23" s="17">
        <v>46066</v>
      </c>
      <c r="E23" s="17">
        <v>46072</v>
      </c>
      <c r="F23" s="16" t="s">
        <v>249</v>
      </c>
      <c r="G23" s="13"/>
      <c r="H23" t="s">
        <v>298</v>
      </c>
    </row>
    <row r="24" spans="1:8">
      <c r="A24" s="8" t="s">
        <v>311</v>
      </c>
      <c r="B24" s="9" t="s">
        <v>297</v>
      </c>
      <c r="C24" s="10">
        <v>15</v>
      </c>
      <c r="D24" s="15" t="s">
        <v>249</v>
      </c>
      <c r="E24" s="15" t="s">
        <v>249</v>
      </c>
      <c r="F24" s="12">
        <v>3</v>
      </c>
      <c r="G24" s="13"/>
      <c r="H24" t="s">
        <v>298</v>
      </c>
    </row>
    <row r="25" spans="1:8">
      <c r="A25" s="8" t="s">
        <v>311</v>
      </c>
      <c r="B25" s="15" t="s">
        <v>299</v>
      </c>
      <c r="C25" s="15">
        <v>5</v>
      </c>
      <c r="D25" s="15"/>
      <c r="E25" s="15"/>
      <c r="F25" s="12"/>
      <c r="G25" s="13"/>
      <c r="H25" t="s">
        <v>298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P35"/>
  <sheetViews>
    <sheetView workbookViewId="0">
      <pane xSplit="5" ySplit="2" topLeftCell="AD3" activePane="bottomRight" state="frozen"/>
      <selection pane="topRight"/>
      <selection pane="bottomLeft"/>
      <selection pane="bottomRight" activeCell="AJ3" sqref="AJ3"/>
    </sheetView>
  </sheetViews>
  <sheetFormatPr defaultColWidth="9.109375" defaultRowHeight="17.25" customHeight="1"/>
  <cols>
    <col min="1" max="1" width="4.44140625" style="284" bestFit="1" customWidth="1"/>
    <col min="2" max="2" width="13.109375" style="284" customWidth="1"/>
    <col min="3" max="3" width="20.109375" style="284" customWidth="1"/>
    <col min="4" max="4" width="42.5546875" style="121" customWidth="1"/>
    <col min="5" max="5" width="10.5546875" style="121" customWidth="1"/>
    <col min="6" max="6" width="22.44140625" style="284" customWidth="1"/>
    <col min="7" max="7" width="10" style="284" customWidth="1"/>
    <col min="8" max="8" width="7.6640625" style="284" customWidth="1"/>
    <col min="9" max="9" width="9.109375" style="284" customWidth="1"/>
    <col min="10" max="11" width="7.6640625" style="284" customWidth="1"/>
    <col min="12" max="12" width="8.33203125" style="284" customWidth="1"/>
    <col min="13" max="13" width="11.6640625" style="284" customWidth="1"/>
    <col min="14" max="21" width="9.109375" style="284" customWidth="1"/>
    <col min="22" max="22" width="10" style="284" bestFit="1" customWidth="1"/>
    <col min="23" max="23" width="16" style="284" bestFit="1" customWidth="1"/>
    <col min="24" max="24" width="16.5546875" style="284" bestFit="1" customWidth="1"/>
    <col min="25" max="25" width="11.6640625" style="284" bestFit="1" customWidth="1"/>
    <col min="26" max="26" width="11.6640625" style="285" customWidth="1"/>
    <col min="27" max="30" width="11.6640625" style="284" customWidth="1"/>
    <col min="31" max="31" width="15" style="284" bestFit="1" customWidth="1"/>
    <col min="32" max="32" width="11.33203125" style="284" bestFit="1" customWidth="1"/>
    <col min="33" max="33" width="12.5546875" style="284" bestFit="1" customWidth="1"/>
    <col min="34" max="34" width="10.109375" style="284" bestFit="1" customWidth="1"/>
    <col min="35" max="35" width="10.44140625" style="284" bestFit="1" customWidth="1"/>
    <col min="36" max="36" width="14" style="284" bestFit="1" customWidth="1"/>
    <col min="37" max="37" width="15.109375" style="284" bestFit="1" customWidth="1"/>
    <col min="38" max="38" width="13.33203125" style="284" bestFit="1" customWidth="1"/>
    <col min="39" max="39" width="12.44140625" style="284" bestFit="1" customWidth="1"/>
    <col min="40" max="41" width="9.109375" style="284" customWidth="1"/>
    <col min="42" max="16384" width="9.109375" style="284"/>
  </cols>
  <sheetData>
    <row r="1" spans="1:42" ht="17.25" customHeight="1">
      <c r="A1" s="319" t="s">
        <v>312</v>
      </c>
      <c r="B1" s="292"/>
      <c r="C1" s="292"/>
      <c r="D1" s="292"/>
      <c r="E1" s="242"/>
      <c r="F1" s="109"/>
      <c r="G1" s="109"/>
      <c r="H1" s="110" t="s">
        <v>20</v>
      </c>
      <c r="I1" s="110" t="s">
        <v>21</v>
      </c>
      <c r="J1" s="110" t="s">
        <v>22</v>
      </c>
      <c r="K1" s="110" t="s">
        <v>23</v>
      </c>
      <c r="L1" s="111"/>
      <c r="M1" s="324" t="s">
        <v>24</v>
      </c>
      <c r="N1" s="292"/>
      <c r="O1" s="292"/>
      <c r="P1" s="292"/>
      <c r="Q1" s="292"/>
      <c r="R1" s="292"/>
      <c r="S1" s="292"/>
      <c r="T1" s="292"/>
      <c r="U1" s="292"/>
      <c r="V1" s="292"/>
      <c r="W1" s="321" t="s">
        <v>25</v>
      </c>
      <c r="X1" s="322"/>
      <c r="Y1" s="322"/>
      <c r="Z1" s="323"/>
      <c r="AA1" s="322"/>
      <c r="AB1" s="322"/>
      <c r="AC1" s="322"/>
      <c r="AD1" s="322"/>
      <c r="AE1" s="322"/>
      <c r="AF1" s="322"/>
      <c r="AG1" s="322"/>
      <c r="AH1" s="322"/>
      <c r="AI1" s="301"/>
      <c r="AJ1" s="322"/>
      <c r="AK1" s="322"/>
      <c r="AL1" s="322"/>
      <c r="AM1" s="322"/>
      <c r="AN1" s="322"/>
      <c r="AO1" s="322"/>
      <c r="AP1" s="250"/>
    </row>
    <row r="2" spans="1:42" ht="17.25" customHeight="1">
      <c r="A2" s="112" t="s">
        <v>27</v>
      </c>
      <c r="B2" s="112" t="s">
        <v>28</v>
      </c>
      <c r="C2" s="113" t="s">
        <v>29</v>
      </c>
      <c r="D2" s="119" t="s">
        <v>30</v>
      </c>
      <c r="E2" s="119" t="s">
        <v>173</v>
      </c>
      <c r="F2" s="112" t="s">
        <v>32</v>
      </c>
      <c r="G2" s="112" t="s">
        <v>33</v>
      </c>
      <c r="H2" s="114" t="s">
        <v>34</v>
      </c>
      <c r="I2" s="114" t="s">
        <v>34</v>
      </c>
      <c r="J2" s="114" t="s">
        <v>34</v>
      </c>
      <c r="K2" s="114" t="s">
        <v>34</v>
      </c>
      <c r="L2" s="114" t="s">
        <v>35</v>
      </c>
      <c r="M2" s="115" t="s">
        <v>36</v>
      </c>
      <c r="N2" s="115" t="s">
        <v>37</v>
      </c>
      <c r="O2" s="115" t="s">
        <v>38</v>
      </c>
      <c r="P2" s="115" t="s">
        <v>39</v>
      </c>
      <c r="Q2" s="115" t="s">
        <v>40</v>
      </c>
      <c r="R2" s="115" t="s">
        <v>41</v>
      </c>
      <c r="S2" s="115" t="s">
        <v>42</v>
      </c>
      <c r="T2" s="115" t="s">
        <v>43</v>
      </c>
      <c r="U2" s="115" t="s">
        <v>44</v>
      </c>
      <c r="V2" s="116" t="s">
        <v>45</v>
      </c>
      <c r="W2" s="117" t="str">
        <f>"Optimistic ("&amp;Summary!E7&amp;")"</f>
        <v>Optimistic (50%)</v>
      </c>
      <c r="X2" s="117" t="s">
        <v>46</v>
      </c>
      <c r="Y2" s="163" t="s">
        <v>47</v>
      </c>
      <c r="Z2" s="162" t="s">
        <v>48</v>
      </c>
      <c r="AA2" s="162" t="s">
        <v>49</v>
      </c>
      <c r="AB2" s="162" t="s">
        <v>50</v>
      </c>
      <c r="AC2" s="162" t="s">
        <v>51</v>
      </c>
      <c r="AD2" s="162" t="s">
        <v>52</v>
      </c>
      <c r="AE2" s="194" t="s">
        <v>36</v>
      </c>
      <c r="AF2" s="73" t="s">
        <v>53</v>
      </c>
      <c r="AG2" s="73" t="s">
        <v>54</v>
      </c>
      <c r="AH2" s="73" t="s">
        <v>55</v>
      </c>
      <c r="AI2" s="264" t="s">
        <v>56</v>
      </c>
      <c r="AJ2" s="73" t="s">
        <v>57</v>
      </c>
      <c r="AK2" s="264" t="s">
        <v>58</v>
      </c>
      <c r="AL2" s="194" t="s">
        <v>41</v>
      </c>
      <c r="AM2" s="73" t="s">
        <v>59</v>
      </c>
      <c r="AN2" s="73" t="s">
        <v>60</v>
      </c>
      <c r="AO2" s="194" t="s">
        <v>44</v>
      </c>
      <c r="AP2" s="250"/>
    </row>
    <row r="3" spans="1:42" ht="17.25" customHeight="1">
      <c r="A3" s="251">
        <v>1</v>
      </c>
      <c r="B3" s="320" t="s">
        <v>61</v>
      </c>
      <c r="C3" s="325" t="s">
        <v>313</v>
      </c>
      <c r="D3" s="252" t="s">
        <v>314</v>
      </c>
      <c r="E3" s="252"/>
      <c r="F3" s="251" t="s">
        <v>156</v>
      </c>
      <c r="G3" s="251"/>
      <c r="H3" s="251"/>
      <c r="I3" s="251"/>
      <c r="J3" s="251"/>
      <c r="K3" s="251"/>
      <c r="L3" s="251"/>
      <c r="M3" s="251"/>
      <c r="N3" s="251">
        <v>1</v>
      </c>
      <c r="O3" s="253">
        <v>2</v>
      </c>
      <c r="P3" s="15">
        <v>23</v>
      </c>
      <c r="Q3" s="254">
        <v>2</v>
      </c>
      <c r="R3" s="251"/>
      <c r="S3" s="251">
        <v>3</v>
      </c>
      <c r="T3" s="251">
        <v>3</v>
      </c>
      <c r="U3" s="251">
        <v>1</v>
      </c>
      <c r="V3" s="255">
        <f t="shared" ref="V3:V32" si="0">SUM(M3:U3)</f>
        <v>35</v>
      </c>
      <c r="W3" s="256">
        <f t="shared" ref="W3:W32" si="1">V3 - (V3 * (SUBSTITUTE(SUBSTITUTE($W$2, "Optimistic (", ""), "%)", "") / 100))</f>
        <v>17.5</v>
      </c>
      <c r="X3" s="256">
        <f t="shared" ref="X3:X32" si="2">V3 + (W3 * (SUBSTITUTE(SUBSTITUTE($W$2, "Optimistic (", ""), "%)", "") / 100))</f>
        <v>43.75</v>
      </c>
      <c r="Y3" s="118">
        <f t="shared" ref="Y3:Y32" si="3">(W3+(4*V3)+X3)/6</f>
        <v>33.541666666666664</v>
      </c>
      <c r="Z3" s="195">
        <f t="shared" ref="Z3:Z32" si="4">Y3/2</f>
        <v>16.770833333333332</v>
      </c>
      <c r="AA3" s="175"/>
      <c r="AB3" s="175"/>
      <c r="AC3" s="178"/>
      <c r="AD3" s="175"/>
      <c r="AE3" s="192">
        <f t="shared" ref="AE3:AE32" si="5">IF($Z3="",0,IF($M3="",0,$M3))</f>
        <v>0</v>
      </c>
      <c r="AF3" s="192">
        <f t="shared" ref="AF3:AF32" si="6">IF(OR($Z3="",$N3=""),0,$Z3*5%)</f>
        <v>0.83854166666666663</v>
      </c>
      <c r="AG3" s="192">
        <f t="shared" ref="AG3:AG35" si="7">IF(OR($Z3="",$O3=""),0,$Z3*10%)</f>
        <v>1.6770833333333333</v>
      </c>
      <c r="AH3" s="192">
        <f t="shared" ref="AH3:AH35" si="8">IF($Z3="",0,IF(AND($P3="",$Q3=""),($Z3-$AE3-$AF3-$AG3-$AI3-$AK3-$AL3-$AM3-$AN3-$AO3),IF($P3="",0,IF($Q3="",($Z3-$AE3-$AF3-$AG3-$AI3-$AK3-$AL3-$AM3-$AN3-$AO3),($Z3-$AE3-$AF3-$AG3-$AI3-$AK3-$AL3-$AM3-$AN3-$AO3)*40%/(40%+15%)))))</f>
        <v>5.6174242424242413</v>
      </c>
      <c r="AI3" s="265">
        <f t="shared" ref="AI3:AI35" si="9">IF($Z3="",0,IF($P3="",0,0.5))</f>
        <v>0.5</v>
      </c>
      <c r="AJ3" s="192">
        <f t="shared" ref="AJ3:AJ35" si="10">IF($Z3="",0,IF(AND($P3="",$Q3=""),0,IF($Q3="",0,IF($P3="",($Z3-$AE3-$AF3-$AG3-$AI3-$AK3-$AL3-$AM3-$AN3-$AO3),($Z3-$AE3-$AF3-$AG3-$AI3-$AK3-$AL3-$AM3-$AN3-$AO3)*15%/(40%+15%)))))</f>
        <v>2.1065340909090904</v>
      </c>
      <c r="AK3" s="265">
        <f t="shared" ref="AK3:AK35" si="11">IF($Z3="",0,$Z3*15%)</f>
        <v>2.5156249999999996</v>
      </c>
      <c r="AL3" s="192">
        <f t="shared" ref="AL3:AL35" si="12">IF($Z3="",0,IF($R3="",0,$R3))</f>
        <v>0</v>
      </c>
      <c r="AM3" s="192">
        <f t="shared" ref="AM3:AM35" si="13">IF(OR($Z3="",$S3=""),0,$Z3*5%)</f>
        <v>0.83854166666666663</v>
      </c>
      <c r="AN3" s="192">
        <f t="shared" ref="AN3:AN35" si="14">IF(OR($Z3="",$T3=""),0,$Z3*10%)</f>
        <v>1.6770833333333333</v>
      </c>
      <c r="AO3" s="192">
        <f t="shared" ref="AO3:AO35" si="15">IF($Z3="",0,IF($U3="",0,$U3))</f>
        <v>1</v>
      </c>
      <c r="AP3" s="250"/>
    </row>
    <row r="4" spans="1:42" ht="17.25" customHeight="1">
      <c r="A4" s="251">
        <v>2</v>
      </c>
      <c r="B4" s="288"/>
      <c r="C4" s="288"/>
      <c r="D4" s="252" t="s">
        <v>315</v>
      </c>
      <c r="E4" s="252"/>
      <c r="F4" s="251" t="s">
        <v>156</v>
      </c>
      <c r="G4" s="251"/>
      <c r="H4" s="251"/>
      <c r="I4" s="251"/>
      <c r="J4" s="251"/>
      <c r="K4" s="251"/>
      <c r="L4" s="251"/>
      <c r="M4" s="251"/>
      <c r="N4" s="251">
        <v>1</v>
      </c>
      <c r="O4" s="253">
        <v>2</v>
      </c>
      <c r="P4" s="15">
        <v>23</v>
      </c>
      <c r="Q4" s="254">
        <v>2</v>
      </c>
      <c r="R4" s="251"/>
      <c r="S4" s="251">
        <v>3</v>
      </c>
      <c r="T4" s="251">
        <v>3</v>
      </c>
      <c r="U4" s="251">
        <v>1</v>
      </c>
      <c r="V4" s="255">
        <f t="shared" si="0"/>
        <v>35</v>
      </c>
      <c r="W4" s="256">
        <f t="shared" si="1"/>
        <v>17.5</v>
      </c>
      <c r="X4" s="256">
        <f t="shared" si="2"/>
        <v>43.75</v>
      </c>
      <c r="Y4" s="118">
        <f t="shared" si="3"/>
        <v>33.541666666666664</v>
      </c>
      <c r="Z4" s="193">
        <f t="shared" si="4"/>
        <v>16.770833333333332</v>
      </c>
      <c r="AA4" s="175"/>
      <c r="AB4" s="175"/>
      <c r="AC4" s="178"/>
      <c r="AD4" s="173"/>
      <c r="AE4" s="192">
        <f t="shared" si="5"/>
        <v>0</v>
      </c>
      <c r="AF4" s="192">
        <f t="shared" si="6"/>
        <v>0.83854166666666663</v>
      </c>
      <c r="AG4" s="192">
        <f t="shared" si="7"/>
        <v>1.6770833333333333</v>
      </c>
      <c r="AH4" s="192">
        <f t="shared" si="8"/>
        <v>5.6174242424242413</v>
      </c>
      <c r="AI4" s="265">
        <f t="shared" si="9"/>
        <v>0.5</v>
      </c>
      <c r="AJ4" s="192">
        <f t="shared" si="10"/>
        <v>2.1065340909090904</v>
      </c>
      <c r="AK4" s="265">
        <f t="shared" si="11"/>
        <v>2.5156249999999996</v>
      </c>
      <c r="AL4" s="192">
        <f t="shared" si="12"/>
        <v>0</v>
      </c>
      <c r="AM4" s="192">
        <f t="shared" si="13"/>
        <v>0.83854166666666663</v>
      </c>
      <c r="AN4" s="192">
        <f t="shared" si="14"/>
        <v>1.6770833333333333</v>
      </c>
      <c r="AO4" s="192">
        <f t="shared" si="15"/>
        <v>1</v>
      </c>
      <c r="AP4" s="250"/>
    </row>
    <row r="5" spans="1:42" ht="17.25" customHeight="1">
      <c r="A5" s="251">
        <v>3</v>
      </c>
      <c r="B5" s="288"/>
      <c r="C5" s="288"/>
      <c r="D5" s="252" t="s">
        <v>316</v>
      </c>
      <c r="E5" s="252"/>
      <c r="F5" s="251" t="s">
        <v>156</v>
      </c>
      <c r="G5" s="251"/>
      <c r="H5" s="251"/>
      <c r="I5" s="251"/>
      <c r="J5" s="251"/>
      <c r="K5" s="251"/>
      <c r="L5" s="251"/>
      <c r="M5" s="251"/>
      <c r="N5" s="251">
        <v>1</v>
      </c>
      <c r="O5" s="253">
        <v>3</v>
      </c>
      <c r="P5" s="15">
        <v>10</v>
      </c>
      <c r="Q5" s="254">
        <v>10</v>
      </c>
      <c r="R5" s="251"/>
      <c r="S5" s="251">
        <v>5</v>
      </c>
      <c r="T5" s="251"/>
      <c r="U5" s="251">
        <v>5</v>
      </c>
      <c r="V5" s="255">
        <f t="shared" si="0"/>
        <v>34</v>
      </c>
      <c r="W5" s="256">
        <f t="shared" si="1"/>
        <v>17</v>
      </c>
      <c r="X5" s="256">
        <f t="shared" si="2"/>
        <v>42.5</v>
      </c>
      <c r="Y5" s="118">
        <f t="shared" si="3"/>
        <v>32.583333333333336</v>
      </c>
      <c r="Z5" s="193">
        <f t="shared" si="4"/>
        <v>16.291666666666668</v>
      </c>
      <c r="AA5" s="172"/>
      <c r="AB5" s="172"/>
      <c r="AC5" s="172"/>
      <c r="AD5" s="173"/>
      <c r="AE5" s="192">
        <f t="shared" si="5"/>
        <v>0</v>
      </c>
      <c r="AF5" s="192">
        <f t="shared" si="6"/>
        <v>0.81458333333333344</v>
      </c>
      <c r="AG5" s="192">
        <f t="shared" si="7"/>
        <v>1.6291666666666669</v>
      </c>
      <c r="AH5" s="192">
        <f t="shared" si="8"/>
        <v>3.7015151515151525</v>
      </c>
      <c r="AI5" s="265">
        <f t="shared" si="9"/>
        <v>0.5</v>
      </c>
      <c r="AJ5" s="192">
        <f t="shared" si="10"/>
        <v>1.3880681818181824</v>
      </c>
      <c r="AK5" s="265">
        <f t="shared" si="11"/>
        <v>2.4437500000000001</v>
      </c>
      <c r="AL5" s="192">
        <f t="shared" si="12"/>
        <v>0</v>
      </c>
      <c r="AM5" s="192">
        <f t="shared" si="13"/>
        <v>0.81458333333333344</v>
      </c>
      <c r="AN5" s="192">
        <f t="shared" si="14"/>
        <v>0</v>
      </c>
      <c r="AO5" s="192">
        <f t="shared" si="15"/>
        <v>5</v>
      </c>
      <c r="AP5" s="250"/>
    </row>
    <row r="6" spans="1:42" ht="17.25" customHeight="1">
      <c r="A6" s="251">
        <v>4</v>
      </c>
      <c r="B6" s="288"/>
      <c r="C6" s="288"/>
      <c r="D6" s="252" t="s">
        <v>317</v>
      </c>
      <c r="E6" s="252"/>
      <c r="F6" s="251" t="s">
        <v>156</v>
      </c>
      <c r="G6" s="251"/>
      <c r="H6" s="251"/>
      <c r="I6" s="251"/>
      <c r="J6" s="251"/>
      <c r="K6" s="251"/>
      <c r="L6" s="251"/>
      <c r="M6" s="251"/>
      <c r="N6" s="251">
        <v>1</v>
      </c>
      <c r="O6" s="253">
        <v>1</v>
      </c>
      <c r="P6" s="15">
        <v>3</v>
      </c>
      <c r="Q6" s="254">
        <v>2</v>
      </c>
      <c r="R6" s="251"/>
      <c r="S6" s="251">
        <v>1</v>
      </c>
      <c r="T6" s="251">
        <v>3</v>
      </c>
      <c r="U6" s="251">
        <v>1</v>
      </c>
      <c r="V6" s="255">
        <f t="shared" si="0"/>
        <v>12</v>
      </c>
      <c r="W6" s="256">
        <f t="shared" si="1"/>
        <v>6</v>
      </c>
      <c r="X6" s="256">
        <f t="shared" si="2"/>
        <v>15</v>
      </c>
      <c r="Y6" s="118">
        <f t="shared" si="3"/>
        <v>11.5</v>
      </c>
      <c r="Z6" s="193">
        <f t="shared" si="4"/>
        <v>5.75</v>
      </c>
      <c r="AA6" s="172"/>
      <c r="AB6" s="172"/>
      <c r="AC6" s="172"/>
      <c r="AD6" s="173"/>
      <c r="AE6" s="192">
        <f t="shared" si="5"/>
        <v>0</v>
      </c>
      <c r="AF6" s="192">
        <f t="shared" si="6"/>
        <v>0.28750000000000003</v>
      </c>
      <c r="AG6" s="192">
        <f t="shared" si="7"/>
        <v>0.57500000000000007</v>
      </c>
      <c r="AH6" s="192">
        <f t="shared" si="8"/>
        <v>1.209090909090909</v>
      </c>
      <c r="AI6" s="265">
        <f t="shared" si="9"/>
        <v>0.5</v>
      </c>
      <c r="AJ6" s="192">
        <f t="shared" si="10"/>
        <v>0.45340909090909087</v>
      </c>
      <c r="AK6" s="265">
        <f t="shared" si="11"/>
        <v>0.86249999999999993</v>
      </c>
      <c r="AL6" s="192">
        <f t="shared" si="12"/>
        <v>0</v>
      </c>
      <c r="AM6" s="192">
        <f t="shared" si="13"/>
        <v>0.28750000000000003</v>
      </c>
      <c r="AN6" s="192">
        <f t="shared" si="14"/>
        <v>0.57500000000000007</v>
      </c>
      <c r="AO6" s="192">
        <f t="shared" si="15"/>
        <v>1</v>
      </c>
      <c r="AP6" s="250"/>
    </row>
    <row r="7" spans="1:42" ht="17.25" customHeight="1">
      <c r="A7" s="251">
        <v>5</v>
      </c>
      <c r="B7" s="288"/>
      <c r="C7" s="288"/>
      <c r="D7" s="252" t="s">
        <v>318</v>
      </c>
      <c r="E7" s="252"/>
      <c r="F7" s="251" t="s">
        <v>319</v>
      </c>
      <c r="G7" s="251"/>
      <c r="H7" s="251"/>
      <c r="I7" s="251"/>
      <c r="J7" s="251"/>
      <c r="K7" s="251"/>
      <c r="L7" s="251"/>
      <c r="M7" s="251"/>
      <c r="N7" s="251">
        <v>1</v>
      </c>
      <c r="O7" s="253">
        <v>2</v>
      </c>
      <c r="P7" s="15">
        <v>15</v>
      </c>
      <c r="Q7" s="254">
        <v>3</v>
      </c>
      <c r="R7" s="251"/>
      <c r="S7" s="251">
        <v>2</v>
      </c>
      <c r="T7" s="251">
        <v>3</v>
      </c>
      <c r="U7" s="251">
        <v>1</v>
      </c>
      <c r="V7" s="255">
        <f t="shared" si="0"/>
        <v>27</v>
      </c>
      <c r="W7" s="256">
        <f t="shared" si="1"/>
        <v>13.5</v>
      </c>
      <c r="X7" s="256">
        <f t="shared" si="2"/>
        <v>33.75</v>
      </c>
      <c r="Y7" s="118">
        <f t="shared" si="3"/>
        <v>25.875</v>
      </c>
      <c r="Z7" s="193">
        <f t="shared" si="4"/>
        <v>12.9375</v>
      </c>
      <c r="AA7" s="172"/>
      <c r="AB7" s="172"/>
      <c r="AC7" s="172"/>
      <c r="AD7" s="173"/>
      <c r="AE7" s="192">
        <f t="shared" si="5"/>
        <v>0</v>
      </c>
      <c r="AF7" s="192">
        <f t="shared" si="6"/>
        <v>0.64687500000000009</v>
      </c>
      <c r="AG7" s="192">
        <f t="shared" si="7"/>
        <v>1.2937500000000002</v>
      </c>
      <c r="AH7" s="192">
        <f t="shared" si="8"/>
        <v>4.0840909090909081</v>
      </c>
      <c r="AI7" s="265">
        <f t="shared" si="9"/>
        <v>0.5</v>
      </c>
      <c r="AJ7" s="192">
        <f t="shared" si="10"/>
        <v>1.5315340909090904</v>
      </c>
      <c r="AK7" s="265">
        <f t="shared" si="11"/>
        <v>1.9406249999999998</v>
      </c>
      <c r="AL7" s="192">
        <f t="shared" si="12"/>
        <v>0</v>
      </c>
      <c r="AM7" s="192">
        <f t="shared" si="13"/>
        <v>0.64687500000000009</v>
      </c>
      <c r="AN7" s="192">
        <f t="shared" si="14"/>
        <v>1.2937500000000002</v>
      </c>
      <c r="AO7" s="192">
        <f t="shared" si="15"/>
        <v>1</v>
      </c>
      <c r="AP7" s="250"/>
    </row>
    <row r="8" spans="1:42" ht="17.25" customHeight="1">
      <c r="A8" s="251">
        <v>6</v>
      </c>
      <c r="B8" s="288"/>
      <c r="C8" s="288"/>
      <c r="D8" s="252" t="s">
        <v>320</v>
      </c>
      <c r="E8" s="252"/>
      <c r="F8" s="251" t="s">
        <v>321</v>
      </c>
      <c r="G8" s="251"/>
      <c r="H8" s="251"/>
      <c r="I8" s="251"/>
      <c r="J8" s="251"/>
      <c r="K8" s="251"/>
      <c r="L8" s="251"/>
      <c r="M8" s="251"/>
      <c r="N8" s="251">
        <v>2</v>
      </c>
      <c r="O8" s="253">
        <v>3</v>
      </c>
      <c r="P8" s="15">
        <v>38</v>
      </c>
      <c r="Q8" s="254">
        <v>5</v>
      </c>
      <c r="R8" s="251"/>
      <c r="S8" s="251">
        <v>3</v>
      </c>
      <c r="T8" s="251"/>
      <c r="U8" s="251"/>
      <c r="V8" s="255">
        <f t="shared" si="0"/>
        <v>51</v>
      </c>
      <c r="W8" s="256">
        <f t="shared" si="1"/>
        <v>25.5</v>
      </c>
      <c r="X8" s="256">
        <f t="shared" si="2"/>
        <v>63.75</v>
      </c>
      <c r="Y8" s="118">
        <f t="shared" si="3"/>
        <v>48.875</v>
      </c>
      <c r="Z8" s="193">
        <f t="shared" si="4"/>
        <v>24.4375</v>
      </c>
      <c r="AA8" s="172"/>
      <c r="AB8" s="172"/>
      <c r="AC8" s="172"/>
      <c r="AD8" s="173"/>
      <c r="AE8" s="192">
        <f t="shared" si="5"/>
        <v>0</v>
      </c>
      <c r="AF8" s="192">
        <f t="shared" si="6"/>
        <v>1.221875</v>
      </c>
      <c r="AG8" s="192">
        <f t="shared" si="7"/>
        <v>2.4437500000000001</v>
      </c>
      <c r="AH8" s="192">
        <f t="shared" si="8"/>
        <v>11.188636363636363</v>
      </c>
      <c r="AI8" s="265">
        <f t="shared" si="9"/>
        <v>0.5</v>
      </c>
      <c r="AJ8" s="192">
        <f t="shared" si="10"/>
        <v>4.1957386363636351</v>
      </c>
      <c r="AK8" s="265">
        <f t="shared" si="11"/>
        <v>3.6656249999999999</v>
      </c>
      <c r="AL8" s="192">
        <f t="shared" si="12"/>
        <v>0</v>
      </c>
      <c r="AM8" s="192">
        <f t="shared" si="13"/>
        <v>1.221875</v>
      </c>
      <c r="AN8" s="192">
        <f t="shared" si="14"/>
        <v>0</v>
      </c>
      <c r="AO8" s="192">
        <f t="shared" si="15"/>
        <v>0</v>
      </c>
      <c r="AP8" s="250"/>
    </row>
    <row r="9" spans="1:42" ht="17.25" customHeight="1">
      <c r="A9" s="251">
        <v>7</v>
      </c>
      <c r="B9" s="288"/>
      <c r="C9" s="288"/>
      <c r="D9" s="252" t="s">
        <v>322</v>
      </c>
      <c r="E9" s="252"/>
      <c r="F9" s="251" t="s">
        <v>323</v>
      </c>
      <c r="G9" s="251"/>
      <c r="H9" s="251"/>
      <c r="I9" s="251"/>
      <c r="J9" s="251"/>
      <c r="K9" s="251"/>
      <c r="L9" s="251"/>
      <c r="M9" s="251"/>
      <c r="N9" s="251"/>
      <c r="O9" s="253"/>
      <c r="P9" s="15">
        <v>15</v>
      </c>
      <c r="Q9" s="254">
        <v>3</v>
      </c>
      <c r="R9" s="251"/>
      <c r="S9" s="251">
        <v>2</v>
      </c>
      <c r="T9" s="251"/>
      <c r="U9" s="251"/>
      <c r="V9" s="255">
        <f t="shared" si="0"/>
        <v>20</v>
      </c>
      <c r="W9" s="256">
        <f t="shared" si="1"/>
        <v>10</v>
      </c>
      <c r="X9" s="256">
        <f t="shared" si="2"/>
        <v>25</v>
      </c>
      <c r="Y9" s="118">
        <f t="shared" si="3"/>
        <v>19.166666666666668</v>
      </c>
      <c r="Z9" s="193">
        <f t="shared" si="4"/>
        <v>9.5833333333333339</v>
      </c>
      <c r="AA9" s="172"/>
      <c r="AB9" s="172"/>
      <c r="AC9" s="172"/>
      <c r="AD9" s="173"/>
      <c r="AE9" s="192">
        <f t="shared" si="5"/>
        <v>0</v>
      </c>
      <c r="AF9" s="192">
        <f t="shared" si="6"/>
        <v>0</v>
      </c>
      <c r="AG9" s="192">
        <f t="shared" si="7"/>
        <v>0</v>
      </c>
      <c r="AH9" s="192">
        <f t="shared" si="8"/>
        <v>5.2121212121212128</v>
      </c>
      <c r="AI9" s="265">
        <f t="shared" si="9"/>
        <v>0.5</v>
      </c>
      <c r="AJ9" s="192">
        <f t="shared" si="10"/>
        <v>1.9545454545454544</v>
      </c>
      <c r="AK9" s="265">
        <f t="shared" si="11"/>
        <v>1.4375</v>
      </c>
      <c r="AL9" s="192">
        <f t="shared" si="12"/>
        <v>0</v>
      </c>
      <c r="AM9" s="192">
        <f t="shared" si="13"/>
        <v>0.47916666666666674</v>
      </c>
      <c r="AN9" s="192">
        <f t="shared" si="14"/>
        <v>0</v>
      </c>
      <c r="AO9" s="192">
        <f t="shared" si="15"/>
        <v>0</v>
      </c>
      <c r="AP9" s="250"/>
    </row>
    <row r="10" spans="1:42" ht="17.25" customHeight="1">
      <c r="A10" s="251">
        <v>8</v>
      </c>
      <c r="B10" s="288"/>
      <c r="C10" s="288"/>
      <c r="D10" s="252" t="s">
        <v>324</v>
      </c>
      <c r="E10" s="252"/>
      <c r="F10" s="257" t="s">
        <v>325</v>
      </c>
      <c r="G10" s="251"/>
      <c r="H10" s="251"/>
      <c r="I10" s="251"/>
      <c r="J10" s="251"/>
      <c r="K10" s="251"/>
      <c r="L10" s="251"/>
      <c r="M10" s="251"/>
      <c r="N10" s="251">
        <v>1</v>
      </c>
      <c r="O10" s="253">
        <v>1</v>
      </c>
      <c r="P10" s="15">
        <v>8</v>
      </c>
      <c r="Q10" s="254">
        <v>2</v>
      </c>
      <c r="R10" s="251"/>
      <c r="S10" s="251">
        <v>1</v>
      </c>
      <c r="T10" s="251"/>
      <c r="U10" s="251"/>
      <c r="V10" s="255">
        <f t="shared" si="0"/>
        <v>13</v>
      </c>
      <c r="W10" s="256">
        <f t="shared" si="1"/>
        <v>6.5</v>
      </c>
      <c r="X10" s="256">
        <f t="shared" si="2"/>
        <v>16.25</v>
      </c>
      <c r="Y10" s="118">
        <f t="shared" si="3"/>
        <v>12.458333333333334</v>
      </c>
      <c r="Z10" s="193">
        <f t="shared" si="4"/>
        <v>6.229166666666667</v>
      </c>
      <c r="AA10" s="172"/>
      <c r="AB10" s="172"/>
      <c r="AC10" s="172"/>
      <c r="AD10" s="173"/>
      <c r="AE10" s="192">
        <f t="shared" si="5"/>
        <v>0</v>
      </c>
      <c r="AF10" s="192">
        <f t="shared" si="6"/>
        <v>0.31145833333333339</v>
      </c>
      <c r="AG10" s="192">
        <f t="shared" si="7"/>
        <v>0.62291666666666679</v>
      </c>
      <c r="AH10" s="192">
        <f t="shared" si="8"/>
        <v>2.5810606060606061</v>
      </c>
      <c r="AI10" s="265">
        <f t="shared" si="9"/>
        <v>0.5</v>
      </c>
      <c r="AJ10" s="192">
        <f t="shared" si="10"/>
        <v>0.96789772727272716</v>
      </c>
      <c r="AK10" s="265">
        <f t="shared" si="11"/>
        <v>0.93437499999999996</v>
      </c>
      <c r="AL10" s="192">
        <f t="shared" si="12"/>
        <v>0</v>
      </c>
      <c r="AM10" s="192">
        <f t="shared" si="13"/>
        <v>0.31145833333333339</v>
      </c>
      <c r="AN10" s="192">
        <f t="shared" si="14"/>
        <v>0</v>
      </c>
      <c r="AO10" s="192">
        <f t="shared" si="15"/>
        <v>0</v>
      </c>
      <c r="AP10" s="250"/>
    </row>
    <row r="11" spans="1:42" ht="17.25" customHeight="1">
      <c r="A11" s="251">
        <v>9</v>
      </c>
      <c r="B11" s="288"/>
      <c r="C11" s="288"/>
      <c r="D11" s="252" t="s">
        <v>326</v>
      </c>
      <c r="E11" s="252"/>
      <c r="F11" s="251" t="s">
        <v>321</v>
      </c>
      <c r="G11" s="251"/>
      <c r="H11" s="251"/>
      <c r="I11" s="251"/>
      <c r="J11" s="251"/>
      <c r="K11" s="251"/>
      <c r="L11" s="251"/>
      <c r="M11" s="251"/>
      <c r="N11" s="251"/>
      <c r="O11" s="253"/>
      <c r="P11" s="15">
        <v>13</v>
      </c>
      <c r="Q11" s="254">
        <v>3</v>
      </c>
      <c r="R11" s="251"/>
      <c r="S11" s="251">
        <v>1</v>
      </c>
      <c r="T11" s="251"/>
      <c r="U11" s="251"/>
      <c r="V11" s="255">
        <f t="shared" si="0"/>
        <v>17</v>
      </c>
      <c r="W11" s="256">
        <f t="shared" si="1"/>
        <v>8.5</v>
      </c>
      <c r="X11" s="256">
        <f t="shared" si="2"/>
        <v>21.25</v>
      </c>
      <c r="Y11" s="118">
        <f t="shared" si="3"/>
        <v>16.291666666666668</v>
      </c>
      <c r="Z11" s="193">
        <f t="shared" si="4"/>
        <v>8.1458333333333339</v>
      </c>
      <c r="AA11" s="172"/>
      <c r="AB11" s="172"/>
      <c r="AC11" s="172"/>
      <c r="AD11" s="173"/>
      <c r="AE11" s="192">
        <f t="shared" si="5"/>
        <v>0</v>
      </c>
      <c r="AF11" s="192">
        <f t="shared" si="6"/>
        <v>0</v>
      </c>
      <c r="AG11" s="192">
        <f t="shared" si="7"/>
        <v>0</v>
      </c>
      <c r="AH11" s="192">
        <f t="shared" si="8"/>
        <v>4.375757575757576</v>
      </c>
      <c r="AI11" s="265">
        <f t="shared" si="9"/>
        <v>0.5</v>
      </c>
      <c r="AJ11" s="192">
        <f t="shared" si="10"/>
        <v>1.6409090909090909</v>
      </c>
      <c r="AK11" s="265">
        <f t="shared" si="11"/>
        <v>1.221875</v>
      </c>
      <c r="AL11" s="192">
        <f t="shared" si="12"/>
        <v>0</v>
      </c>
      <c r="AM11" s="192">
        <f t="shared" si="13"/>
        <v>0.40729166666666672</v>
      </c>
      <c r="AN11" s="192">
        <f t="shared" si="14"/>
        <v>0</v>
      </c>
      <c r="AO11" s="192">
        <f t="shared" si="15"/>
        <v>0</v>
      </c>
      <c r="AP11" s="250"/>
    </row>
    <row r="12" spans="1:42" ht="17.25" customHeight="1">
      <c r="A12" s="251">
        <v>10</v>
      </c>
      <c r="B12" s="288"/>
      <c r="C12" s="288"/>
      <c r="D12" s="252" t="s">
        <v>327</v>
      </c>
      <c r="E12" s="252"/>
      <c r="F12" s="251" t="s">
        <v>65</v>
      </c>
      <c r="G12" s="251"/>
      <c r="H12" s="251"/>
      <c r="I12" s="251"/>
      <c r="J12" s="251"/>
      <c r="K12" s="251"/>
      <c r="L12" s="251"/>
      <c r="M12" s="251"/>
      <c r="N12" s="251"/>
      <c r="O12" s="253"/>
      <c r="P12" s="15">
        <v>10</v>
      </c>
      <c r="Q12" s="254">
        <v>3</v>
      </c>
      <c r="R12" s="251"/>
      <c r="S12" s="251">
        <v>2</v>
      </c>
      <c r="T12" s="251"/>
      <c r="U12" s="251"/>
      <c r="V12" s="255">
        <f t="shared" si="0"/>
        <v>15</v>
      </c>
      <c r="W12" s="256">
        <f t="shared" si="1"/>
        <v>7.5</v>
      </c>
      <c r="X12" s="256">
        <f t="shared" si="2"/>
        <v>18.75</v>
      </c>
      <c r="Y12" s="118">
        <f t="shared" si="3"/>
        <v>14.375</v>
      </c>
      <c r="Z12" s="193">
        <f t="shared" si="4"/>
        <v>7.1875</v>
      </c>
      <c r="AA12" s="172"/>
      <c r="AB12" s="172"/>
      <c r="AC12" s="172"/>
      <c r="AD12" s="173"/>
      <c r="AE12" s="192">
        <f t="shared" si="5"/>
        <v>0</v>
      </c>
      <c r="AF12" s="192">
        <f t="shared" si="6"/>
        <v>0</v>
      </c>
      <c r="AG12" s="192">
        <f t="shared" si="7"/>
        <v>0</v>
      </c>
      <c r="AH12" s="192">
        <f t="shared" si="8"/>
        <v>3.8181818181818179</v>
      </c>
      <c r="AI12" s="265">
        <f t="shared" si="9"/>
        <v>0.5</v>
      </c>
      <c r="AJ12" s="192">
        <f t="shared" si="10"/>
        <v>1.4318181818181817</v>
      </c>
      <c r="AK12" s="265">
        <f t="shared" si="11"/>
        <v>1.078125</v>
      </c>
      <c r="AL12" s="192">
        <f t="shared" si="12"/>
        <v>0</v>
      </c>
      <c r="AM12" s="192">
        <f t="shared" si="13"/>
        <v>0.359375</v>
      </c>
      <c r="AN12" s="192">
        <f t="shared" si="14"/>
        <v>0</v>
      </c>
      <c r="AO12" s="192">
        <f t="shared" si="15"/>
        <v>0</v>
      </c>
      <c r="AP12" s="250"/>
    </row>
    <row r="13" spans="1:42" ht="17.25" customHeight="1">
      <c r="A13" s="251">
        <v>11</v>
      </c>
      <c r="B13" s="288"/>
      <c r="C13" s="288"/>
      <c r="D13" s="252" t="s">
        <v>328</v>
      </c>
      <c r="E13" s="220" t="s">
        <v>329</v>
      </c>
      <c r="F13" s="251" t="s">
        <v>319</v>
      </c>
      <c r="G13" s="251"/>
      <c r="H13" s="251"/>
      <c r="I13" s="251"/>
      <c r="J13" s="251"/>
      <c r="K13" s="251"/>
      <c r="L13" s="251"/>
      <c r="M13" s="251"/>
      <c r="N13" s="251">
        <v>1</v>
      </c>
      <c r="O13" s="253">
        <v>1</v>
      </c>
      <c r="P13" s="15">
        <v>15</v>
      </c>
      <c r="Q13" s="254">
        <v>7</v>
      </c>
      <c r="R13" s="251"/>
      <c r="S13" s="251">
        <v>1</v>
      </c>
      <c r="T13" s="251"/>
      <c r="U13" s="251">
        <v>1</v>
      </c>
      <c r="V13" s="255">
        <f t="shared" si="0"/>
        <v>26</v>
      </c>
      <c r="W13" s="258">
        <f t="shared" si="1"/>
        <v>13</v>
      </c>
      <c r="X13" s="258">
        <f t="shared" si="2"/>
        <v>32.5</v>
      </c>
      <c r="Y13" s="199">
        <f t="shared" si="3"/>
        <v>24.916666666666668</v>
      </c>
      <c r="Z13" s="200">
        <f t="shared" si="4"/>
        <v>12.458333333333334</v>
      </c>
      <c r="AA13" s="201">
        <v>46113</v>
      </c>
      <c r="AB13" s="201">
        <v>46120</v>
      </c>
      <c r="AC13" s="202">
        <v>46121</v>
      </c>
      <c r="AD13" s="213">
        <v>46139</v>
      </c>
      <c r="AE13" s="192">
        <f t="shared" si="5"/>
        <v>0</v>
      </c>
      <c r="AF13" s="192">
        <f t="shared" si="6"/>
        <v>0.62291666666666679</v>
      </c>
      <c r="AG13" s="192">
        <f t="shared" si="7"/>
        <v>1.2458333333333336</v>
      </c>
      <c r="AH13" s="192">
        <f t="shared" si="8"/>
        <v>4.7984848484848479</v>
      </c>
      <c r="AI13" s="265">
        <f t="shared" si="9"/>
        <v>0.5</v>
      </c>
      <c r="AJ13" s="192">
        <f t="shared" si="10"/>
        <v>1.7994318181818179</v>
      </c>
      <c r="AK13" s="265">
        <f t="shared" si="11"/>
        <v>1.8687499999999999</v>
      </c>
      <c r="AL13" s="192">
        <f t="shared" si="12"/>
        <v>0</v>
      </c>
      <c r="AM13" s="192">
        <f t="shared" si="13"/>
        <v>0.62291666666666679</v>
      </c>
      <c r="AN13" s="192">
        <f t="shared" si="14"/>
        <v>0</v>
      </c>
      <c r="AO13" s="192">
        <f t="shared" si="15"/>
        <v>1</v>
      </c>
      <c r="AP13" s="250"/>
    </row>
    <row r="14" spans="1:42" ht="17.25" customHeight="1">
      <c r="A14" s="251">
        <v>12</v>
      </c>
      <c r="B14" s="288"/>
      <c r="C14" s="289"/>
      <c r="D14" s="252" t="s">
        <v>330</v>
      </c>
      <c r="E14" s="220" t="s">
        <v>331</v>
      </c>
      <c r="F14" s="251" t="s">
        <v>156</v>
      </c>
      <c r="G14" s="251"/>
      <c r="H14" s="251"/>
      <c r="I14" s="251"/>
      <c r="J14" s="251"/>
      <c r="K14" s="251"/>
      <c r="L14" s="251"/>
      <c r="M14" s="251"/>
      <c r="N14" s="251">
        <v>1</v>
      </c>
      <c r="O14" s="253">
        <v>2</v>
      </c>
      <c r="P14" s="15">
        <v>13</v>
      </c>
      <c r="Q14" s="254">
        <v>3</v>
      </c>
      <c r="R14" s="251"/>
      <c r="S14" s="251">
        <v>2</v>
      </c>
      <c r="T14" s="251"/>
      <c r="U14" s="251">
        <v>1</v>
      </c>
      <c r="V14" s="255">
        <f t="shared" si="0"/>
        <v>22</v>
      </c>
      <c r="W14" s="258">
        <f t="shared" si="1"/>
        <v>11</v>
      </c>
      <c r="X14" s="258">
        <f t="shared" si="2"/>
        <v>27.5</v>
      </c>
      <c r="Y14" s="199">
        <f t="shared" si="3"/>
        <v>21.083333333333332</v>
      </c>
      <c r="Z14" s="200">
        <f t="shared" si="4"/>
        <v>10.541666666666666</v>
      </c>
      <c r="AA14" s="201">
        <v>46121</v>
      </c>
      <c r="AB14" s="201">
        <v>46125</v>
      </c>
      <c r="AC14" s="202">
        <v>46126</v>
      </c>
      <c r="AD14" s="213">
        <v>46139</v>
      </c>
      <c r="AE14" s="192">
        <f t="shared" si="5"/>
        <v>0</v>
      </c>
      <c r="AF14" s="192">
        <f t="shared" si="6"/>
        <v>0.52708333333333335</v>
      </c>
      <c r="AG14" s="192">
        <f t="shared" si="7"/>
        <v>1.0541666666666667</v>
      </c>
      <c r="AH14" s="192">
        <f t="shared" si="8"/>
        <v>3.8924242424242408</v>
      </c>
      <c r="AI14" s="265">
        <f t="shared" si="9"/>
        <v>0.5</v>
      </c>
      <c r="AJ14" s="192">
        <f t="shared" si="10"/>
        <v>1.4596590909090905</v>
      </c>
      <c r="AK14" s="265">
        <f t="shared" si="11"/>
        <v>1.5812499999999998</v>
      </c>
      <c r="AL14" s="192">
        <f t="shared" si="12"/>
        <v>0</v>
      </c>
      <c r="AM14" s="192">
        <f t="shared" si="13"/>
        <v>0.52708333333333335</v>
      </c>
      <c r="AN14" s="192">
        <f t="shared" si="14"/>
        <v>0</v>
      </c>
      <c r="AO14" s="192">
        <f t="shared" si="15"/>
        <v>1</v>
      </c>
      <c r="AP14" s="250"/>
    </row>
    <row r="15" spans="1:42" ht="17.25" customHeight="1">
      <c r="A15" s="251">
        <v>13</v>
      </c>
      <c r="B15" s="288"/>
      <c r="C15" s="282" t="s">
        <v>332</v>
      </c>
      <c r="D15" s="252" t="s">
        <v>333</v>
      </c>
      <c r="E15" s="252"/>
      <c r="F15" s="251" t="s">
        <v>321</v>
      </c>
      <c r="G15" s="251"/>
      <c r="H15" s="251"/>
      <c r="I15" s="251"/>
      <c r="J15" s="251"/>
      <c r="K15" s="251"/>
      <c r="L15" s="251"/>
      <c r="M15" s="251"/>
      <c r="N15" s="251">
        <v>2</v>
      </c>
      <c r="O15" s="253">
        <v>3</v>
      </c>
      <c r="P15" s="15">
        <v>25</v>
      </c>
      <c r="Q15" s="254">
        <v>5</v>
      </c>
      <c r="R15" s="251"/>
      <c r="S15" s="251">
        <v>3</v>
      </c>
      <c r="T15" s="251"/>
      <c r="U15" s="251"/>
      <c r="V15" s="255">
        <f t="shared" si="0"/>
        <v>38</v>
      </c>
      <c r="W15" s="256">
        <f t="shared" si="1"/>
        <v>19</v>
      </c>
      <c r="X15" s="256">
        <f t="shared" si="2"/>
        <v>47.5</v>
      </c>
      <c r="Y15" s="118">
        <f t="shared" si="3"/>
        <v>36.416666666666664</v>
      </c>
      <c r="Z15" s="193">
        <f t="shared" si="4"/>
        <v>18.208333333333332</v>
      </c>
      <c r="AA15" s="172"/>
      <c r="AB15" s="172"/>
      <c r="AC15" s="172"/>
      <c r="AD15" s="173"/>
      <c r="AE15" s="192">
        <f t="shared" si="5"/>
        <v>0</v>
      </c>
      <c r="AF15" s="192">
        <f t="shared" si="6"/>
        <v>0.91041666666666665</v>
      </c>
      <c r="AG15" s="192">
        <f t="shared" si="7"/>
        <v>1.8208333333333333</v>
      </c>
      <c r="AH15" s="192">
        <f t="shared" si="8"/>
        <v>8.2439393939393941</v>
      </c>
      <c r="AI15" s="265">
        <f t="shared" si="9"/>
        <v>0.5</v>
      </c>
      <c r="AJ15" s="192">
        <f t="shared" si="10"/>
        <v>3.0914772727272726</v>
      </c>
      <c r="AK15" s="265">
        <f t="shared" si="11"/>
        <v>2.7312499999999997</v>
      </c>
      <c r="AL15" s="192">
        <f t="shared" si="12"/>
        <v>0</v>
      </c>
      <c r="AM15" s="192">
        <f t="shared" si="13"/>
        <v>0.91041666666666665</v>
      </c>
      <c r="AN15" s="192">
        <f t="shared" si="14"/>
        <v>0</v>
      </c>
      <c r="AO15" s="192">
        <f t="shared" si="15"/>
        <v>0</v>
      </c>
      <c r="AP15" s="250"/>
    </row>
    <row r="16" spans="1:42" ht="17.25" customHeight="1">
      <c r="A16" s="251">
        <v>14</v>
      </c>
      <c r="B16" s="288"/>
      <c r="C16" s="282" t="s">
        <v>334</v>
      </c>
      <c r="D16" s="252" t="s">
        <v>335</v>
      </c>
      <c r="E16" s="252"/>
      <c r="F16" s="251" t="s">
        <v>321</v>
      </c>
      <c r="G16" s="251"/>
      <c r="H16" s="251"/>
      <c r="I16" s="251"/>
      <c r="J16" s="251"/>
      <c r="K16" s="251"/>
      <c r="L16" s="251"/>
      <c r="M16" s="251"/>
      <c r="N16" s="251">
        <v>2</v>
      </c>
      <c r="O16" s="253">
        <v>3</v>
      </c>
      <c r="P16" s="15">
        <v>25</v>
      </c>
      <c r="Q16" s="254">
        <v>5</v>
      </c>
      <c r="R16" s="251"/>
      <c r="S16" s="251">
        <v>3</v>
      </c>
      <c r="T16" s="251"/>
      <c r="U16" s="251"/>
      <c r="V16" s="255">
        <f t="shared" si="0"/>
        <v>38</v>
      </c>
      <c r="W16" s="256">
        <f t="shared" si="1"/>
        <v>19</v>
      </c>
      <c r="X16" s="256">
        <f t="shared" si="2"/>
        <v>47.5</v>
      </c>
      <c r="Y16" s="118">
        <f t="shared" si="3"/>
        <v>36.416666666666664</v>
      </c>
      <c r="Z16" s="193">
        <f t="shared" si="4"/>
        <v>18.208333333333332</v>
      </c>
      <c r="AA16" s="172"/>
      <c r="AB16" s="172"/>
      <c r="AC16" s="172"/>
      <c r="AD16" s="173"/>
      <c r="AE16" s="192">
        <f t="shared" si="5"/>
        <v>0</v>
      </c>
      <c r="AF16" s="192">
        <f t="shared" si="6"/>
        <v>0.91041666666666665</v>
      </c>
      <c r="AG16" s="192">
        <f t="shared" si="7"/>
        <v>1.8208333333333333</v>
      </c>
      <c r="AH16" s="192">
        <f t="shared" si="8"/>
        <v>8.2439393939393941</v>
      </c>
      <c r="AI16" s="265">
        <f t="shared" si="9"/>
        <v>0.5</v>
      </c>
      <c r="AJ16" s="192">
        <f t="shared" si="10"/>
        <v>3.0914772727272726</v>
      </c>
      <c r="AK16" s="265">
        <f t="shared" si="11"/>
        <v>2.7312499999999997</v>
      </c>
      <c r="AL16" s="192">
        <f t="shared" si="12"/>
        <v>0</v>
      </c>
      <c r="AM16" s="192">
        <f t="shared" si="13"/>
        <v>0.91041666666666665</v>
      </c>
      <c r="AN16" s="192">
        <f t="shared" si="14"/>
        <v>0</v>
      </c>
      <c r="AO16" s="192">
        <f t="shared" si="15"/>
        <v>0</v>
      </c>
      <c r="AP16" s="250"/>
    </row>
    <row r="17" spans="1:42" ht="17.25" customHeight="1">
      <c r="A17" s="251">
        <v>15</v>
      </c>
      <c r="B17" s="289"/>
      <c r="C17" s="282" t="s">
        <v>336</v>
      </c>
      <c r="D17" s="252" t="s">
        <v>337</v>
      </c>
      <c r="E17" s="252"/>
      <c r="F17" s="251" t="s">
        <v>321</v>
      </c>
      <c r="G17" s="251"/>
      <c r="H17" s="251"/>
      <c r="I17" s="251"/>
      <c r="J17" s="251"/>
      <c r="K17" s="251"/>
      <c r="L17" s="251"/>
      <c r="M17" s="251"/>
      <c r="N17" s="251">
        <v>2</v>
      </c>
      <c r="O17" s="253">
        <v>3</v>
      </c>
      <c r="P17" s="15">
        <v>20</v>
      </c>
      <c r="Q17" s="254">
        <v>5</v>
      </c>
      <c r="R17" s="251"/>
      <c r="S17" s="251">
        <v>3</v>
      </c>
      <c r="T17" s="251"/>
      <c r="U17" s="251"/>
      <c r="V17" s="255">
        <f t="shared" si="0"/>
        <v>33</v>
      </c>
      <c r="W17" s="256">
        <f t="shared" si="1"/>
        <v>16.5</v>
      </c>
      <c r="X17" s="256">
        <f t="shared" si="2"/>
        <v>41.25</v>
      </c>
      <c r="Y17" s="118">
        <f t="shared" si="3"/>
        <v>31.625</v>
      </c>
      <c r="Z17" s="193">
        <f t="shared" si="4"/>
        <v>15.8125</v>
      </c>
      <c r="AA17" s="172"/>
      <c r="AB17" s="172"/>
      <c r="AC17" s="172"/>
      <c r="AD17" s="173"/>
      <c r="AE17" s="192">
        <f t="shared" si="5"/>
        <v>0</v>
      </c>
      <c r="AF17" s="192">
        <f t="shared" si="6"/>
        <v>0.79062500000000002</v>
      </c>
      <c r="AG17" s="192">
        <f t="shared" si="7"/>
        <v>1.58125</v>
      </c>
      <c r="AH17" s="192">
        <f t="shared" si="8"/>
        <v>7.1113636363636354</v>
      </c>
      <c r="AI17" s="265">
        <f t="shared" si="9"/>
        <v>0.5</v>
      </c>
      <c r="AJ17" s="192">
        <f t="shared" si="10"/>
        <v>2.666761363636363</v>
      </c>
      <c r="AK17" s="265">
        <f t="shared" si="11"/>
        <v>2.3718749999999997</v>
      </c>
      <c r="AL17" s="192">
        <f t="shared" si="12"/>
        <v>0</v>
      </c>
      <c r="AM17" s="192">
        <f t="shared" si="13"/>
        <v>0.79062500000000002</v>
      </c>
      <c r="AN17" s="192">
        <f t="shared" si="14"/>
        <v>0</v>
      </c>
      <c r="AO17" s="192">
        <f t="shared" si="15"/>
        <v>0</v>
      </c>
      <c r="AP17" s="250"/>
    </row>
    <row r="18" spans="1:42" ht="17.25" customHeight="1">
      <c r="A18" s="251">
        <v>16</v>
      </c>
      <c r="B18" s="320" t="s">
        <v>85</v>
      </c>
      <c r="C18" s="283" t="s">
        <v>338</v>
      </c>
      <c r="D18" s="120" t="s">
        <v>339</v>
      </c>
      <c r="E18" s="120"/>
      <c r="F18" s="251" t="s">
        <v>156</v>
      </c>
      <c r="G18" s="251"/>
      <c r="H18" s="251"/>
      <c r="I18" s="251"/>
      <c r="J18" s="251"/>
      <c r="K18" s="251"/>
      <c r="L18" s="251"/>
      <c r="M18" s="251"/>
      <c r="N18" s="251">
        <v>1</v>
      </c>
      <c r="O18" s="253">
        <v>2</v>
      </c>
      <c r="P18" s="15">
        <v>33</v>
      </c>
      <c r="Q18" s="254">
        <v>2</v>
      </c>
      <c r="R18" s="251"/>
      <c r="S18" s="251">
        <v>3</v>
      </c>
      <c r="T18" s="251">
        <v>3</v>
      </c>
      <c r="U18" s="251">
        <v>1</v>
      </c>
      <c r="V18" s="255">
        <f t="shared" si="0"/>
        <v>45</v>
      </c>
      <c r="W18" s="256">
        <f t="shared" si="1"/>
        <v>22.5</v>
      </c>
      <c r="X18" s="256">
        <f t="shared" si="2"/>
        <v>56.25</v>
      </c>
      <c r="Y18" s="118">
        <f t="shared" si="3"/>
        <v>43.125</v>
      </c>
      <c r="Z18" s="193">
        <f t="shared" si="4"/>
        <v>21.5625</v>
      </c>
      <c r="AA18" s="172"/>
      <c r="AB18" s="172"/>
      <c r="AC18" s="172"/>
      <c r="AD18" s="173"/>
      <c r="AE18" s="192">
        <f t="shared" si="5"/>
        <v>0</v>
      </c>
      <c r="AF18" s="192">
        <f t="shared" si="6"/>
        <v>1.078125</v>
      </c>
      <c r="AG18" s="192">
        <f t="shared" si="7"/>
        <v>2.15625</v>
      </c>
      <c r="AH18" s="192">
        <f t="shared" si="8"/>
        <v>7.5340909090909083</v>
      </c>
      <c r="AI18" s="265">
        <f t="shared" si="9"/>
        <v>0.5</v>
      </c>
      <c r="AJ18" s="192">
        <f t="shared" si="10"/>
        <v>2.8252840909090908</v>
      </c>
      <c r="AK18" s="265">
        <f t="shared" si="11"/>
        <v>3.234375</v>
      </c>
      <c r="AL18" s="192">
        <f t="shared" si="12"/>
        <v>0</v>
      </c>
      <c r="AM18" s="192">
        <f t="shared" si="13"/>
        <v>1.078125</v>
      </c>
      <c r="AN18" s="192">
        <f t="shared" si="14"/>
        <v>2.15625</v>
      </c>
      <c r="AO18" s="192">
        <f t="shared" si="15"/>
        <v>1</v>
      </c>
      <c r="AP18" s="250"/>
    </row>
    <row r="19" spans="1:42" ht="17.25" customHeight="1">
      <c r="A19" s="251">
        <v>17</v>
      </c>
      <c r="B19" s="288"/>
      <c r="C19" s="283" t="s">
        <v>340</v>
      </c>
      <c r="D19" s="120" t="s">
        <v>341</v>
      </c>
      <c r="E19" s="120"/>
      <c r="F19" s="251" t="s">
        <v>156</v>
      </c>
      <c r="G19" s="251"/>
      <c r="H19" s="251"/>
      <c r="I19" s="251"/>
      <c r="J19" s="251"/>
      <c r="K19" s="251"/>
      <c r="L19" s="251"/>
      <c r="M19" s="251"/>
      <c r="N19" s="251">
        <v>1</v>
      </c>
      <c r="O19" s="253">
        <v>2</v>
      </c>
      <c r="P19" s="15">
        <v>17</v>
      </c>
      <c r="Q19" s="254">
        <v>2</v>
      </c>
      <c r="R19" s="251"/>
      <c r="S19" s="251">
        <v>3</v>
      </c>
      <c r="T19" s="251">
        <v>3</v>
      </c>
      <c r="U19" s="251">
        <v>1</v>
      </c>
      <c r="V19" s="255">
        <f t="shared" si="0"/>
        <v>29</v>
      </c>
      <c r="W19" s="256">
        <f t="shared" si="1"/>
        <v>14.5</v>
      </c>
      <c r="X19" s="256">
        <f t="shared" si="2"/>
        <v>36.25</v>
      </c>
      <c r="Y19" s="118">
        <f t="shared" si="3"/>
        <v>27.791666666666668</v>
      </c>
      <c r="Z19" s="193">
        <f t="shared" si="4"/>
        <v>13.895833333333334</v>
      </c>
      <c r="AA19" s="172"/>
      <c r="AB19" s="172"/>
      <c r="AC19" s="172"/>
      <c r="AD19" s="173"/>
      <c r="AE19" s="192">
        <f t="shared" si="5"/>
        <v>0</v>
      </c>
      <c r="AF19" s="192">
        <f t="shared" si="6"/>
        <v>0.6947916666666667</v>
      </c>
      <c r="AG19" s="192">
        <f t="shared" si="7"/>
        <v>1.3895833333333334</v>
      </c>
      <c r="AH19" s="192">
        <f t="shared" si="8"/>
        <v>4.4674242424242427</v>
      </c>
      <c r="AI19" s="265">
        <f t="shared" si="9"/>
        <v>0.5</v>
      </c>
      <c r="AJ19" s="192">
        <f t="shared" si="10"/>
        <v>1.6752840909090909</v>
      </c>
      <c r="AK19" s="265">
        <f t="shared" si="11"/>
        <v>2.0843750000000001</v>
      </c>
      <c r="AL19" s="192">
        <f t="shared" si="12"/>
        <v>0</v>
      </c>
      <c r="AM19" s="192">
        <f t="shared" si="13"/>
        <v>0.6947916666666667</v>
      </c>
      <c r="AN19" s="192">
        <f t="shared" si="14"/>
        <v>1.3895833333333334</v>
      </c>
      <c r="AO19" s="192">
        <f t="shared" si="15"/>
        <v>1</v>
      </c>
      <c r="AP19" s="250"/>
    </row>
    <row r="20" spans="1:42" ht="17.25" customHeight="1">
      <c r="A20" s="251">
        <v>18</v>
      </c>
      <c r="B20" s="288"/>
      <c r="C20" s="283" t="s">
        <v>342</v>
      </c>
      <c r="D20" s="190" t="s">
        <v>343</v>
      </c>
      <c r="E20" s="190"/>
      <c r="F20" s="251" t="s">
        <v>319</v>
      </c>
      <c r="G20" s="251"/>
      <c r="H20" s="251"/>
      <c r="I20" s="251"/>
      <c r="J20" s="251"/>
      <c r="K20" s="251"/>
      <c r="L20" s="251"/>
      <c r="M20" s="251"/>
      <c r="N20" s="251">
        <v>1</v>
      </c>
      <c r="O20" s="253">
        <v>1</v>
      </c>
      <c r="P20" s="15">
        <v>11</v>
      </c>
      <c r="Q20" s="254">
        <v>1</v>
      </c>
      <c r="R20" s="251"/>
      <c r="S20" s="251">
        <v>2</v>
      </c>
      <c r="T20" s="251">
        <v>3</v>
      </c>
      <c r="U20" s="251">
        <v>1</v>
      </c>
      <c r="V20" s="255">
        <f t="shared" si="0"/>
        <v>20</v>
      </c>
      <c r="W20" s="256">
        <f t="shared" si="1"/>
        <v>10</v>
      </c>
      <c r="X20" s="256">
        <f t="shared" si="2"/>
        <v>25</v>
      </c>
      <c r="Y20" s="118">
        <f t="shared" si="3"/>
        <v>19.166666666666668</v>
      </c>
      <c r="Z20" s="193">
        <f t="shared" si="4"/>
        <v>9.5833333333333339</v>
      </c>
      <c r="AA20" s="175"/>
      <c r="AB20" s="175"/>
      <c r="AC20" s="178"/>
      <c r="AD20" s="173"/>
      <c r="AE20" s="192">
        <f t="shared" si="5"/>
        <v>0</v>
      </c>
      <c r="AF20" s="192">
        <f t="shared" si="6"/>
        <v>0.47916666666666674</v>
      </c>
      <c r="AG20" s="192">
        <f t="shared" si="7"/>
        <v>0.95833333333333348</v>
      </c>
      <c r="AH20" s="192">
        <f t="shared" si="8"/>
        <v>2.7424242424242431</v>
      </c>
      <c r="AI20" s="265">
        <f t="shared" si="9"/>
        <v>0.5</v>
      </c>
      <c r="AJ20" s="192">
        <f t="shared" si="10"/>
        <v>1.0284090909090908</v>
      </c>
      <c r="AK20" s="265">
        <f t="shared" si="11"/>
        <v>1.4375</v>
      </c>
      <c r="AL20" s="192">
        <f t="shared" si="12"/>
        <v>0</v>
      </c>
      <c r="AM20" s="192">
        <f t="shared" si="13"/>
        <v>0.47916666666666674</v>
      </c>
      <c r="AN20" s="192">
        <f t="shared" si="14"/>
        <v>0.95833333333333348</v>
      </c>
      <c r="AO20" s="192">
        <f t="shared" si="15"/>
        <v>1</v>
      </c>
      <c r="AP20" s="250"/>
    </row>
    <row r="21" spans="1:42" ht="17.25" customHeight="1">
      <c r="A21" s="251">
        <v>19</v>
      </c>
      <c r="B21" s="288"/>
      <c r="C21" s="320" t="s">
        <v>344</v>
      </c>
      <c r="D21" s="252" t="s">
        <v>345</v>
      </c>
      <c r="E21" s="252"/>
      <c r="F21" s="251" t="s">
        <v>321</v>
      </c>
      <c r="G21" s="251"/>
      <c r="H21" s="251"/>
      <c r="I21" s="251"/>
      <c r="J21" s="251"/>
      <c r="K21" s="251"/>
      <c r="L21" s="251"/>
      <c r="M21" s="251"/>
      <c r="N21" s="251">
        <v>1</v>
      </c>
      <c r="O21" s="253">
        <v>2</v>
      </c>
      <c r="P21" s="15">
        <v>25</v>
      </c>
      <c r="Q21" s="254">
        <v>3</v>
      </c>
      <c r="R21" s="251"/>
      <c r="S21" s="251">
        <v>2</v>
      </c>
      <c r="T21" s="251"/>
      <c r="U21" s="251"/>
      <c r="V21" s="255">
        <f t="shared" si="0"/>
        <v>33</v>
      </c>
      <c r="W21" s="256">
        <f t="shared" si="1"/>
        <v>16.5</v>
      </c>
      <c r="X21" s="256">
        <f t="shared" si="2"/>
        <v>41.25</v>
      </c>
      <c r="Y21" s="118">
        <f t="shared" si="3"/>
        <v>31.625</v>
      </c>
      <c r="Z21" s="193">
        <f t="shared" si="4"/>
        <v>15.8125</v>
      </c>
      <c r="AA21" s="172"/>
      <c r="AB21" s="172"/>
      <c r="AC21" s="172"/>
      <c r="AD21" s="173"/>
      <c r="AE21" s="192">
        <f t="shared" si="5"/>
        <v>0</v>
      </c>
      <c r="AF21" s="192">
        <f t="shared" si="6"/>
        <v>0.79062500000000002</v>
      </c>
      <c r="AG21" s="192">
        <f t="shared" si="7"/>
        <v>1.58125</v>
      </c>
      <c r="AH21" s="192">
        <f t="shared" si="8"/>
        <v>7.1113636363636354</v>
      </c>
      <c r="AI21" s="265">
        <f t="shared" si="9"/>
        <v>0.5</v>
      </c>
      <c r="AJ21" s="192">
        <f t="shared" si="10"/>
        <v>2.666761363636363</v>
      </c>
      <c r="AK21" s="265">
        <f t="shared" si="11"/>
        <v>2.3718749999999997</v>
      </c>
      <c r="AL21" s="192">
        <f t="shared" si="12"/>
        <v>0</v>
      </c>
      <c r="AM21" s="192">
        <f t="shared" si="13"/>
        <v>0.79062500000000002</v>
      </c>
      <c r="AN21" s="192">
        <f t="shared" si="14"/>
        <v>0</v>
      </c>
      <c r="AO21" s="192">
        <f t="shared" si="15"/>
        <v>0</v>
      </c>
      <c r="AP21" s="250"/>
    </row>
    <row r="22" spans="1:42" ht="17.25" customHeight="1">
      <c r="A22" s="251">
        <v>20</v>
      </c>
      <c r="B22" s="288"/>
      <c r="C22" s="289"/>
      <c r="D22" s="252" t="s">
        <v>346</v>
      </c>
      <c r="E22" s="220" t="s">
        <v>347</v>
      </c>
      <c r="F22" s="251" t="s">
        <v>319</v>
      </c>
      <c r="G22" s="251"/>
      <c r="H22" s="251"/>
      <c r="I22" s="251"/>
      <c r="J22" s="251"/>
      <c r="K22" s="251"/>
      <c r="L22" s="251"/>
      <c r="M22" s="251"/>
      <c r="N22" s="251">
        <v>1</v>
      </c>
      <c r="O22" s="253">
        <v>2</v>
      </c>
      <c r="P22" s="15">
        <v>25</v>
      </c>
      <c r="Q22" s="254">
        <v>3</v>
      </c>
      <c r="R22" s="251"/>
      <c r="S22" s="251">
        <v>2</v>
      </c>
      <c r="T22" s="251"/>
      <c r="U22" s="251">
        <v>1</v>
      </c>
      <c r="V22" s="255">
        <f t="shared" si="0"/>
        <v>34</v>
      </c>
      <c r="W22" s="258">
        <f t="shared" si="1"/>
        <v>17</v>
      </c>
      <c r="X22" s="258">
        <f t="shared" si="2"/>
        <v>42.5</v>
      </c>
      <c r="Y22" s="199">
        <f t="shared" si="3"/>
        <v>32.583333333333336</v>
      </c>
      <c r="Z22" s="200">
        <f t="shared" si="4"/>
        <v>16.291666666666668</v>
      </c>
      <c r="AA22" s="201">
        <v>46127</v>
      </c>
      <c r="AB22" s="201">
        <v>46132</v>
      </c>
      <c r="AC22" s="202">
        <v>46133</v>
      </c>
      <c r="AD22" s="213">
        <v>46139</v>
      </c>
      <c r="AE22" s="192">
        <f t="shared" si="5"/>
        <v>0</v>
      </c>
      <c r="AF22" s="192">
        <f t="shared" si="6"/>
        <v>0.81458333333333344</v>
      </c>
      <c r="AG22" s="192">
        <f t="shared" si="7"/>
        <v>1.6291666666666669</v>
      </c>
      <c r="AH22" s="192">
        <f t="shared" si="8"/>
        <v>6.6106060606060613</v>
      </c>
      <c r="AI22" s="265">
        <f t="shared" si="9"/>
        <v>0.5</v>
      </c>
      <c r="AJ22" s="192">
        <f t="shared" si="10"/>
        <v>2.4789772727272732</v>
      </c>
      <c r="AK22" s="265">
        <f t="shared" si="11"/>
        <v>2.4437500000000001</v>
      </c>
      <c r="AL22" s="192">
        <f t="shared" si="12"/>
        <v>0</v>
      </c>
      <c r="AM22" s="192">
        <f t="shared" si="13"/>
        <v>0.81458333333333344</v>
      </c>
      <c r="AN22" s="192">
        <f t="shared" si="14"/>
        <v>0</v>
      </c>
      <c r="AO22" s="192">
        <f t="shared" si="15"/>
        <v>1</v>
      </c>
      <c r="AP22" s="250"/>
    </row>
    <row r="23" spans="1:42" ht="17.25" customHeight="1">
      <c r="A23" s="251">
        <v>21</v>
      </c>
      <c r="B23" s="289"/>
      <c r="C23" s="282" t="s">
        <v>348</v>
      </c>
      <c r="D23" s="252" t="s">
        <v>349</v>
      </c>
      <c r="E23" s="252"/>
      <c r="F23" s="251" t="s">
        <v>350</v>
      </c>
      <c r="G23" s="251"/>
      <c r="H23" s="251"/>
      <c r="I23" s="251"/>
      <c r="J23" s="251"/>
      <c r="K23" s="251"/>
      <c r="L23" s="251"/>
      <c r="M23" s="251"/>
      <c r="N23" s="251">
        <v>2</v>
      </c>
      <c r="O23" s="253">
        <v>3</v>
      </c>
      <c r="P23" s="15">
        <v>50</v>
      </c>
      <c r="Q23" s="254">
        <v>5</v>
      </c>
      <c r="R23" s="251"/>
      <c r="S23" s="251">
        <v>3</v>
      </c>
      <c r="T23" s="251"/>
      <c r="U23" s="251"/>
      <c r="V23" s="255">
        <f t="shared" si="0"/>
        <v>63</v>
      </c>
      <c r="W23" s="256">
        <f t="shared" si="1"/>
        <v>31.5</v>
      </c>
      <c r="X23" s="256">
        <f t="shared" si="2"/>
        <v>78.75</v>
      </c>
      <c r="Y23" s="118">
        <f t="shared" si="3"/>
        <v>60.375</v>
      </c>
      <c r="Z23" s="193">
        <f t="shared" si="4"/>
        <v>30.1875</v>
      </c>
      <c r="AA23" s="172"/>
      <c r="AB23" s="172"/>
      <c r="AC23" s="172"/>
      <c r="AD23" s="173"/>
      <c r="AE23" s="192">
        <f t="shared" si="5"/>
        <v>0</v>
      </c>
      <c r="AF23" s="192">
        <f t="shared" si="6"/>
        <v>1.5093750000000001</v>
      </c>
      <c r="AG23" s="192">
        <f t="shared" si="7"/>
        <v>3.0187500000000003</v>
      </c>
      <c r="AH23" s="192">
        <f t="shared" si="8"/>
        <v>13.906818181818183</v>
      </c>
      <c r="AI23" s="265">
        <f t="shared" si="9"/>
        <v>0.5</v>
      </c>
      <c r="AJ23" s="192">
        <f t="shared" si="10"/>
        <v>5.215056818181818</v>
      </c>
      <c r="AK23" s="265">
        <f t="shared" si="11"/>
        <v>4.5281250000000002</v>
      </c>
      <c r="AL23" s="192">
        <f t="shared" si="12"/>
        <v>0</v>
      </c>
      <c r="AM23" s="192">
        <f t="shared" si="13"/>
        <v>1.5093750000000001</v>
      </c>
      <c r="AN23" s="192">
        <f t="shared" si="14"/>
        <v>0</v>
      </c>
      <c r="AO23" s="192">
        <f t="shared" si="15"/>
        <v>0</v>
      </c>
      <c r="AP23" s="250"/>
    </row>
    <row r="24" spans="1:42" ht="17.25" customHeight="1">
      <c r="A24" s="251">
        <v>22</v>
      </c>
      <c r="B24" s="320" t="s">
        <v>146</v>
      </c>
      <c r="C24" s="326" t="s">
        <v>351</v>
      </c>
      <c r="D24" s="120" t="s">
        <v>352</v>
      </c>
      <c r="E24" s="120"/>
      <c r="F24" s="251" t="s">
        <v>65</v>
      </c>
      <c r="G24" s="251"/>
      <c r="H24" s="251"/>
      <c r="I24" s="251"/>
      <c r="J24" s="251"/>
      <c r="K24" s="251"/>
      <c r="L24" s="251"/>
      <c r="M24" s="251"/>
      <c r="N24" s="251">
        <v>3</v>
      </c>
      <c r="O24" s="253">
        <v>5</v>
      </c>
      <c r="P24" s="15">
        <v>17</v>
      </c>
      <c r="Q24" s="254">
        <v>5</v>
      </c>
      <c r="R24" s="251"/>
      <c r="S24" s="251">
        <v>3</v>
      </c>
      <c r="T24" s="251"/>
      <c r="U24" s="251"/>
      <c r="V24" s="255">
        <f t="shared" si="0"/>
        <v>33</v>
      </c>
      <c r="W24" s="256">
        <f t="shared" si="1"/>
        <v>16.5</v>
      </c>
      <c r="X24" s="256">
        <f t="shared" si="2"/>
        <v>41.25</v>
      </c>
      <c r="Y24" s="118">
        <f t="shared" si="3"/>
        <v>31.625</v>
      </c>
      <c r="Z24" s="193">
        <f t="shared" si="4"/>
        <v>15.8125</v>
      </c>
      <c r="AA24" s="172"/>
      <c r="AB24" s="172"/>
      <c r="AC24" s="172"/>
      <c r="AD24" s="173"/>
      <c r="AE24" s="192">
        <f t="shared" si="5"/>
        <v>0</v>
      </c>
      <c r="AF24" s="192">
        <f t="shared" si="6"/>
        <v>0.79062500000000002</v>
      </c>
      <c r="AG24" s="192">
        <f t="shared" si="7"/>
        <v>1.58125</v>
      </c>
      <c r="AH24" s="192">
        <f t="shared" si="8"/>
        <v>7.1113636363636354</v>
      </c>
      <c r="AI24" s="265">
        <f t="shared" si="9"/>
        <v>0.5</v>
      </c>
      <c r="AJ24" s="192">
        <f t="shared" si="10"/>
        <v>2.666761363636363</v>
      </c>
      <c r="AK24" s="265">
        <f t="shared" si="11"/>
        <v>2.3718749999999997</v>
      </c>
      <c r="AL24" s="192">
        <f t="shared" si="12"/>
        <v>0</v>
      </c>
      <c r="AM24" s="192">
        <f t="shared" si="13"/>
        <v>0.79062500000000002</v>
      </c>
      <c r="AN24" s="192">
        <f t="shared" si="14"/>
        <v>0</v>
      </c>
      <c r="AO24" s="192">
        <f t="shared" si="15"/>
        <v>0</v>
      </c>
      <c r="AP24" s="250"/>
    </row>
    <row r="25" spans="1:42" ht="17.25" customHeight="1">
      <c r="A25" s="251">
        <v>23</v>
      </c>
      <c r="B25" s="288"/>
      <c r="C25" s="289"/>
      <c r="D25" s="120" t="s">
        <v>353</v>
      </c>
      <c r="E25" s="220" t="s">
        <v>354</v>
      </c>
      <c r="F25" s="251" t="s">
        <v>65</v>
      </c>
      <c r="G25" s="251"/>
      <c r="H25" s="251"/>
      <c r="I25" s="251"/>
      <c r="J25" s="251"/>
      <c r="K25" s="251"/>
      <c r="L25" s="251"/>
      <c r="M25" s="251"/>
      <c r="N25" s="251">
        <v>1</v>
      </c>
      <c r="O25" s="253">
        <v>2</v>
      </c>
      <c r="P25" s="15">
        <v>15</v>
      </c>
      <c r="Q25" s="254">
        <v>3</v>
      </c>
      <c r="R25" s="251"/>
      <c r="S25" s="251">
        <v>1</v>
      </c>
      <c r="T25" s="251"/>
      <c r="U25" s="251">
        <v>1</v>
      </c>
      <c r="V25" s="255">
        <f t="shared" si="0"/>
        <v>23</v>
      </c>
      <c r="W25" s="258">
        <f t="shared" si="1"/>
        <v>11.5</v>
      </c>
      <c r="X25" s="258">
        <f t="shared" si="2"/>
        <v>28.75</v>
      </c>
      <c r="Y25" s="199">
        <f t="shared" si="3"/>
        <v>22.041666666666668</v>
      </c>
      <c r="Z25" s="200">
        <f t="shared" si="4"/>
        <v>11.020833333333334</v>
      </c>
      <c r="AA25" s="201">
        <v>46121</v>
      </c>
      <c r="AB25" s="201">
        <v>46128</v>
      </c>
      <c r="AC25" s="202">
        <v>46129</v>
      </c>
      <c r="AD25" s="213">
        <v>46139</v>
      </c>
      <c r="AE25" s="192">
        <f t="shared" si="5"/>
        <v>0</v>
      </c>
      <c r="AF25" s="192">
        <f t="shared" si="6"/>
        <v>0.55104166666666676</v>
      </c>
      <c r="AG25" s="192">
        <f t="shared" si="7"/>
        <v>1.1020833333333335</v>
      </c>
      <c r="AH25" s="192">
        <f t="shared" si="8"/>
        <v>4.118939393939395</v>
      </c>
      <c r="AI25" s="265">
        <f t="shared" si="9"/>
        <v>0.5</v>
      </c>
      <c r="AJ25" s="192">
        <f t="shared" si="10"/>
        <v>1.544602272727273</v>
      </c>
      <c r="AK25" s="265">
        <f t="shared" si="11"/>
        <v>1.653125</v>
      </c>
      <c r="AL25" s="192">
        <f t="shared" si="12"/>
        <v>0</v>
      </c>
      <c r="AM25" s="192">
        <f t="shared" si="13"/>
        <v>0.55104166666666676</v>
      </c>
      <c r="AN25" s="192">
        <f t="shared" si="14"/>
        <v>0</v>
      </c>
      <c r="AO25" s="192">
        <f t="shared" si="15"/>
        <v>1</v>
      </c>
      <c r="AP25" s="250"/>
    </row>
    <row r="26" spans="1:42" ht="17.25" customHeight="1">
      <c r="A26" s="251">
        <v>24</v>
      </c>
      <c r="B26" s="288"/>
      <c r="C26" s="320" t="s">
        <v>355</v>
      </c>
      <c r="D26" s="252" t="s">
        <v>356</v>
      </c>
      <c r="E26" s="252"/>
      <c r="F26" s="257" t="s">
        <v>65</v>
      </c>
      <c r="G26" s="251"/>
      <c r="H26" s="251"/>
      <c r="I26" s="251"/>
      <c r="J26" s="251"/>
      <c r="K26" s="251"/>
      <c r="L26" s="251"/>
      <c r="M26" s="251"/>
      <c r="N26" s="251">
        <v>1</v>
      </c>
      <c r="O26" s="253">
        <v>2</v>
      </c>
      <c r="P26" s="15">
        <v>38</v>
      </c>
      <c r="Q26" s="254">
        <v>5</v>
      </c>
      <c r="R26" s="251"/>
      <c r="S26" s="251">
        <v>5</v>
      </c>
      <c r="T26" s="251"/>
      <c r="U26" s="251"/>
      <c r="V26" s="255">
        <f t="shared" si="0"/>
        <v>51</v>
      </c>
      <c r="W26" s="256">
        <f t="shared" si="1"/>
        <v>25.5</v>
      </c>
      <c r="X26" s="256">
        <f t="shared" si="2"/>
        <v>63.75</v>
      </c>
      <c r="Y26" s="118">
        <f t="shared" si="3"/>
        <v>48.875</v>
      </c>
      <c r="Z26" s="193">
        <f t="shared" si="4"/>
        <v>24.4375</v>
      </c>
      <c r="AA26" s="172"/>
      <c r="AB26" s="172"/>
      <c r="AC26" s="172"/>
      <c r="AD26" s="173"/>
      <c r="AE26" s="192">
        <f t="shared" si="5"/>
        <v>0</v>
      </c>
      <c r="AF26" s="192">
        <f t="shared" si="6"/>
        <v>1.221875</v>
      </c>
      <c r="AG26" s="192">
        <f t="shared" si="7"/>
        <v>2.4437500000000001</v>
      </c>
      <c r="AH26" s="192">
        <f t="shared" si="8"/>
        <v>11.188636363636363</v>
      </c>
      <c r="AI26" s="265">
        <f t="shared" si="9"/>
        <v>0.5</v>
      </c>
      <c r="AJ26" s="192">
        <f t="shared" si="10"/>
        <v>4.1957386363636351</v>
      </c>
      <c r="AK26" s="265">
        <f t="shared" si="11"/>
        <v>3.6656249999999999</v>
      </c>
      <c r="AL26" s="192">
        <f t="shared" si="12"/>
        <v>0</v>
      </c>
      <c r="AM26" s="192">
        <f t="shared" si="13"/>
        <v>1.221875</v>
      </c>
      <c r="AN26" s="192">
        <f t="shared" si="14"/>
        <v>0</v>
      </c>
      <c r="AO26" s="192">
        <f t="shared" si="15"/>
        <v>0</v>
      </c>
      <c r="AP26" s="250"/>
    </row>
    <row r="27" spans="1:42" ht="17.25" customHeight="1">
      <c r="A27" s="251">
        <v>25</v>
      </c>
      <c r="B27" s="288"/>
      <c r="C27" s="288"/>
      <c r="D27" s="252" t="s">
        <v>357</v>
      </c>
      <c r="E27" s="252"/>
      <c r="F27" s="251" t="s">
        <v>321</v>
      </c>
      <c r="G27" s="251"/>
      <c r="H27" s="251"/>
      <c r="I27" s="251"/>
      <c r="J27" s="251"/>
      <c r="K27" s="251"/>
      <c r="L27" s="251"/>
      <c r="M27" s="251"/>
      <c r="N27" s="251">
        <v>1</v>
      </c>
      <c r="O27" s="253">
        <v>2</v>
      </c>
      <c r="P27" s="15">
        <v>25</v>
      </c>
      <c r="Q27" s="254">
        <v>5</v>
      </c>
      <c r="R27" s="251"/>
      <c r="S27" s="251">
        <v>3</v>
      </c>
      <c r="T27" s="251"/>
      <c r="U27" s="251"/>
      <c r="V27" s="255">
        <f t="shared" si="0"/>
        <v>36</v>
      </c>
      <c r="W27" s="256">
        <f t="shared" si="1"/>
        <v>18</v>
      </c>
      <c r="X27" s="256">
        <f t="shared" si="2"/>
        <v>45</v>
      </c>
      <c r="Y27" s="118">
        <f t="shared" si="3"/>
        <v>34.5</v>
      </c>
      <c r="Z27" s="193">
        <f t="shared" si="4"/>
        <v>17.25</v>
      </c>
      <c r="AA27" s="172"/>
      <c r="AB27" s="172"/>
      <c r="AC27" s="172"/>
      <c r="AD27" s="173"/>
      <c r="AE27" s="192">
        <f t="shared" si="5"/>
        <v>0</v>
      </c>
      <c r="AF27" s="192">
        <f t="shared" si="6"/>
        <v>0.86250000000000004</v>
      </c>
      <c r="AG27" s="192">
        <f t="shared" si="7"/>
        <v>1.7250000000000001</v>
      </c>
      <c r="AH27" s="192">
        <f t="shared" si="8"/>
        <v>7.7909090909090892</v>
      </c>
      <c r="AI27" s="265">
        <f t="shared" si="9"/>
        <v>0.5</v>
      </c>
      <c r="AJ27" s="192">
        <f t="shared" si="10"/>
        <v>2.9215909090909085</v>
      </c>
      <c r="AK27" s="265">
        <f t="shared" si="11"/>
        <v>2.5874999999999999</v>
      </c>
      <c r="AL27" s="192">
        <f t="shared" si="12"/>
        <v>0</v>
      </c>
      <c r="AM27" s="192">
        <f t="shared" si="13"/>
        <v>0.86250000000000004</v>
      </c>
      <c r="AN27" s="192">
        <f t="shared" si="14"/>
        <v>0</v>
      </c>
      <c r="AO27" s="192">
        <f t="shared" si="15"/>
        <v>0</v>
      </c>
      <c r="AP27" s="250"/>
    </row>
    <row r="28" spans="1:42" ht="17.25" customHeight="1">
      <c r="A28" s="251">
        <v>26</v>
      </c>
      <c r="B28" s="288"/>
      <c r="C28" s="288"/>
      <c r="D28" s="252" t="s">
        <v>358</v>
      </c>
      <c r="E28" s="252"/>
      <c r="F28" s="251" t="s">
        <v>65</v>
      </c>
      <c r="G28" s="251"/>
      <c r="H28" s="251"/>
      <c r="I28" s="251"/>
      <c r="J28" s="251"/>
      <c r="K28" s="251"/>
      <c r="L28" s="251"/>
      <c r="M28" s="251"/>
      <c r="N28" s="251"/>
      <c r="O28" s="253"/>
      <c r="P28" s="15">
        <v>5</v>
      </c>
      <c r="Q28" s="254">
        <v>1</v>
      </c>
      <c r="R28" s="251"/>
      <c r="S28" s="251"/>
      <c r="T28" s="251"/>
      <c r="U28" s="251"/>
      <c r="V28" s="255">
        <f t="shared" si="0"/>
        <v>6</v>
      </c>
      <c r="W28" s="256">
        <f t="shared" si="1"/>
        <v>3</v>
      </c>
      <c r="X28" s="256">
        <f t="shared" si="2"/>
        <v>7.5</v>
      </c>
      <c r="Y28" s="118">
        <f t="shared" si="3"/>
        <v>5.75</v>
      </c>
      <c r="Z28" s="193">
        <f t="shared" si="4"/>
        <v>2.875</v>
      </c>
      <c r="AA28" s="172"/>
      <c r="AB28" s="172"/>
      <c r="AC28" s="172"/>
      <c r="AD28" s="173"/>
      <c r="AE28" s="192">
        <f t="shared" si="5"/>
        <v>0</v>
      </c>
      <c r="AF28" s="192">
        <f t="shared" si="6"/>
        <v>0</v>
      </c>
      <c r="AG28" s="192">
        <f t="shared" si="7"/>
        <v>0</v>
      </c>
      <c r="AH28" s="192">
        <f t="shared" si="8"/>
        <v>1.4136363636363636</v>
      </c>
      <c r="AI28" s="265">
        <f t="shared" si="9"/>
        <v>0.5</v>
      </c>
      <c r="AJ28" s="192">
        <f t="shared" si="10"/>
        <v>0.53011363636363629</v>
      </c>
      <c r="AK28" s="265">
        <f t="shared" si="11"/>
        <v>0.43124999999999997</v>
      </c>
      <c r="AL28" s="192">
        <f t="shared" si="12"/>
        <v>0</v>
      </c>
      <c r="AM28" s="192">
        <f t="shared" si="13"/>
        <v>0</v>
      </c>
      <c r="AN28" s="192">
        <f t="shared" si="14"/>
        <v>0</v>
      </c>
      <c r="AO28" s="192">
        <f t="shared" si="15"/>
        <v>0</v>
      </c>
      <c r="AP28" s="250"/>
    </row>
    <row r="29" spans="1:42" ht="17.25" customHeight="1">
      <c r="A29" s="251">
        <v>27</v>
      </c>
      <c r="B29" s="288"/>
      <c r="C29" s="289"/>
      <c r="D29" s="252" t="s">
        <v>359</v>
      </c>
      <c r="E29" s="252"/>
      <c r="F29" s="251" t="s">
        <v>350</v>
      </c>
      <c r="G29" s="251"/>
      <c r="H29" s="251"/>
      <c r="I29" s="251"/>
      <c r="J29" s="251"/>
      <c r="K29" s="251"/>
      <c r="L29" s="251"/>
      <c r="M29" s="251"/>
      <c r="N29" s="251">
        <v>1</v>
      </c>
      <c r="O29" s="253">
        <v>2</v>
      </c>
      <c r="P29" s="15">
        <v>25</v>
      </c>
      <c r="Q29" s="254">
        <v>6</v>
      </c>
      <c r="R29" s="251"/>
      <c r="S29" s="251">
        <v>5</v>
      </c>
      <c r="T29" s="251"/>
      <c r="U29" s="251"/>
      <c r="V29" s="255">
        <f t="shared" si="0"/>
        <v>39</v>
      </c>
      <c r="W29" s="256">
        <f t="shared" si="1"/>
        <v>19.5</v>
      </c>
      <c r="X29" s="256">
        <f t="shared" si="2"/>
        <v>48.75</v>
      </c>
      <c r="Y29" s="118">
        <f t="shared" si="3"/>
        <v>37.375</v>
      </c>
      <c r="Z29" s="193">
        <f t="shared" si="4"/>
        <v>18.6875</v>
      </c>
      <c r="AA29" s="172"/>
      <c r="AB29" s="172"/>
      <c r="AC29" s="172"/>
      <c r="AD29" s="173"/>
      <c r="AE29" s="192">
        <f t="shared" si="5"/>
        <v>0</v>
      </c>
      <c r="AF29" s="192">
        <f t="shared" si="6"/>
        <v>0.93437500000000007</v>
      </c>
      <c r="AG29" s="192">
        <f t="shared" si="7"/>
        <v>1.8687500000000001</v>
      </c>
      <c r="AH29" s="192">
        <f t="shared" si="8"/>
        <v>8.4704545454545457</v>
      </c>
      <c r="AI29" s="265">
        <f t="shared" si="9"/>
        <v>0.5</v>
      </c>
      <c r="AJ29" s="192">
        <f t="shared" si="10"/>
        <v>3.1764204545454549</v>
      </c>
      <c r="AK29" s="265">
        <f t="shared" si="11"/>
        <v>2.8031250000000001</v>
      </c>
      <c r="AL29" s="192">
        <f t="shared" si="12"/>
        <v>0</v>
      </c>
      <c r="AM29" s="192">
        <f t="shared" si="13"/>
        <v>0.93437500000000007</v>
      </c>
      <c r="AN29" s="192">
        <f t="shared" si="14"/>
        <v>0</v>
      </c>
      <c r="AO29" s="192">
        <f t="shared" si="15"/>
        <v>0</v>
      </c>
      <c r="AP29" s="250"/>
    </row>
    <row r="30" spans="1:42" ht="17.25" customHeight="1">
      <c r="A30" s="251">
        <v>28</v>
      </c>
      <c r="B30" s="288"/>
      <c r="C30" s="320" t="s">
        <v>360</v>
      </c>
      <c r="D30" s="252" t="s">
        <v>361</v>
      </c>
      <c r="E30" s="252"/>
      <c r="F30" s="251" t="s">
        <v>65</v>
      </c>
      <c r="G30" s="251"/>
      <c r="H30" s="251"/>
      <c r="I30" s="251"/>
      <c r="J30" s="251"/>
      <c r="K30" s="251"/>
      <c r="L30" s="251"/>
      <c r="M30" s="251"/>
      <c r="N30" s="251"/>
      <c r="O30" s="253"/>
      <c r="P30" s="15">
        <v>50</v>
      </c>
      <c r="Q30" s="254">
        <v>5</v>
      </c>
      <c r="R30" s="251"/>
      <c r="S30" s="251">
        <v>3</v>
      </c>
      <c r="T30" s="251"/>
      <c r="U30" s="251"/>
      <c r="V30" s="255">
        <f t="shared" si="0"/>
        <v>58</v>
      </c>
      <c r="W30" s="256">
        <f t="shared" si="1"/>
        <v>29</v>
      </c>
      <c r="X30" s="256">
        <f t="shared" si="2"/>
        <v>72.5</v>
      </c>
      <c r="Y30" s="118">
        <f t="shared" si="3"/>
        <v>55.583333333333336</v>
      </c>
      <c r="Z30" s="193">
        <f t="shared" si="4"/>
        <v>27.791666666666668</v>
      </c>
      <c r="AA30" s="172"/>
      <c r="AB30" s="172"/>
      <c r="AC30" s="172"/>
      <c r="AD30" s="173"/>
      <c r="AE30" s="192">
        <f t="shared" si="5"/>
        <v>0</v>
      </c>
      <c r="AF30" s="192">
        <f t="shared" si="6"/>
        <v>0</v>
      </c>
      <c r="AG30" s="192">
        <f t="shared" si="7"/>
        <v>0</v>
      </c>
      <c r="AH30" s="192">
        <f t="shared" si="8"/>
        <v>15.806060606060605</v>
      </c>
      <c r="AI30" s="265">
        <f t="shared" si="9"/>
        <v>0.5</v>
      </c>
      <c r="AJ30" s="192">
        <f t="shared" si="10"/>
        <v>5.9272727272727268</v>
      </c>
      <c r="AK30" s="265">
        <f t="shared" si="11"/>
        <v>4.1687500000000002</v>
      </c>
      <c r="AL30" s="192">
        <f t="shared" si="12"/>
        <v>0</v>
      </c>
      <c r="AM30" s="192">
        <f t="shared" si="13"/>
        <v>1.3895833333333334</v>
      </c>
      <c r="AN30" s="192">
        <f t="shared" si="14"/>
        <v>0</v>
      </c>
      <c r="AO30" s="192">
        <f t="shared" si="15"/>
        <v>0</v>
      </c>
      <c r="AP30" s="250"/>
    </row>
    <row r="31" spans="1:42" ht="17.25" customHeight="1">
      <c r="A31" s="251">
        <v>29</v>
      </c>
      <c r="B31" s="289"/>
      <c r="C31" s="289"/>
      <c r="D31" s="252" t="s">
        <v>362</v>
      </c>
      <c r="E31" s="252"/>
      <c r="F31" s="251" t="s">
        <v>65</v>
      </c>
      <c r="G31" s="251"/>
      <c r="H31" s="251"/>
      <c r="I31" s="251"/>
      <c r="J31" s="251"/>
      <c r="K31" s="251"/>
      <c r="L31" s="251"/>
      <c r="M31" s="251"/>
      <c r="N31" s="251"/>
      <c r="O31" s="253"/>
      <c r="P31" s="15">
        <v>13</v>
      </c>
      <c r="Q31" s="254">
        <v>2</v>
      </c>
      <c r="R31" s="251"/>
      <c r="S31" s="251"/>
      <c r="T31" s="251"/>
      <c r="U31" s="251"/>
      <c r="V31" s="255">
        <f t="shared" si="0"/>
        <v>15</v>
      </c>
      <c r="W31" s="256">
        <f t="shared" si="1"/>
        <v>7.5</v>
      </c>
      <c r="X31" s="256">
        <f t="shared" si="2"/>
        <v>18.75</v>
      </c>
      <c r="Y31" s="118">
        <f t="shared" si="3"/>
        <v>14.375</v>
      </c>
      <c r="Z31" s="193">
        <f t="shared" si="4"/>
        <v>7.1875</v>
      </c>
      <c r="AA31" s="172"/>
      <c r="AB31" s="172"/>
      <c r="AC31" s="172"/>
      <c r="AD31" s="173"/>
      <c r="AE31" s="192">
        <f t="shared" si="5"/>
        <v>0</v>
      </c>
      <c r="AF31" s="192">
        <f t="shared" si="6"/>
        <v>0</v>
      </c>
      <c r="AG31" s="192">
        <f t="shared" si="7"/>
        <v>0</v>
      </c>
      <c r="AH31" s="192">
        <f t="shared" si="8"/>
        <v>4.0795454545454541</v>
      </c>
      <c r="AI31" s="265">
        <f t="shared" si="9"/>
        <v>0.5</v>
      </c>
      <c r="AJ31" s="192">
        <f t="shared" si="10"/>
        <v>1.5298295454545454</v>
      </c>
      <c r="AK31" s="265">
        <f t="shared" si="11"/>
        <v>1.078125</v>
      </c>
      <c r="AL31" s="192">
        <f t="shared" si="12"/>
        <v>0</v>
      </c>
      <c r="AM31" s="192">
        <f t="shared" si="13"/>
        <v>0</v>
      </c>
      <c r="AN31" s="192">
        <f t="shared" si="14"/>
        <v>0</v>
      </c>
      <c r="AO31" s="192">
        <f t="shared" si="15"/>
        <v>0</v>
      </c>
      <c r="AP31" s="250"/>
    </row>
    <row r="32" spans="1:42" ht="17.25" customHeight="1">
      <c r="A32" s="251">
        <v>30</v>
      </c>
      <c r="B32" s="282" t="s">
        <v>164</v>
      </c>
      <c r="C32" s="282" t="s">
        <v>363</v>
      </c>
      <c r="D32" s="252" t="s">
        <v>364</v>
      </c>
      <c r="E32" s="252"/>
      <c r="F32" s="257" t="s">
        <v>65</v>
      </c>
      <c r="G32" s="251"/>
      <c r="H32" s="251"/>
      <c r="I32" s="251"/>
      <c r="J32" s="251"/>
      <c r="K32" s="251"/>
      <c r="L32" s="251"/>
      <c r="M32" s="251"/>
      <c r="N32" s="251">
        <v>2</v>
      </c>
      <c r="O32" s="253">
        <v>3</v>
      </c>
      <c r="P32" s="15">
        <v>50</v>
      </c>
      <c r="Q32" s="254">
        <v>6</v>
      </c>
      <c r="R32" s="251"/>
      <c r="S32" s="251">
        <v>10</v>
      </c>
      <c r="T32" s="251"/>
      <c r="U32" s="251"/>
      <c r="V32" s="259">
        <f t="shared" si="0"/>
        <v>71</v>
      </c>
      <c r="W32" s="260">
        <f t="shared" si="1"/>
        <v>35.5</v>
      </c>
      <c r="X32" s="260">
        <f t="shared" si="2"/>
        <v>88.75</v>
      </c>
      <c r="Y32" s="166">
        <f t="shared" si="3"/>
        <v>68.041666666666671</v>
      </c>
      <c r="Z32" s="196">
        <f t="shared" si="4"/>
        <v>34.020833333333336</v>
      </c>
      <c r="AA32" s="176"/>
      <c r="AB32" s="176"/>
      <c r="AC32" s="176"/>
      <c r="AD32" s="177"/>
      <c r="AE32" s="192">
        <f t="shared" si="5"/>
        <v>0</v>
      </c>
      <c r="AF32" s="192">
        <f t="shared" si="6"/>
        <v>1.7010416666666668</v>
      </c>
      <c r="AG32" s="192">
        <f t="shared" si="7"/>
        <v>3.4020833333333336</v>
      </c>
      <c r="AH32" s="192">
        <f t="shared" si="8"/>
        <v>15.718939393939392</v>
      </c>
      <c r="AI32" s="265">
        <f t="shared" si="9"/>
        <v>0.5</v>
      </c>
      <c r="AJ32" s="192">
        <f t="shared" si="10"/>
        <v>5.8946022727272709</v>
      </c>
      <c r="AK32" s="265">
        <f t="shared" si="11"/>
        <v>5.1031250000000004</v>
      </c>
      <c r="AL32" s="192">
        <f t="shared" si="12"/>
        <v>0</v>
      </c>
      <c r="AM32" s="192">
        <f t="shared" si="13"/>
        <v>1.7010416666666668</v>
      </c>
      <c r="AN32" s="192">
        <f t="shared" si="14"/>
        <v>0</v>
      </c>
      <c r="AO32" s="192">
        <f t="shared" si="15"/>
        <v>0</v>
      </c>
      <c r="AP32" s="250"/>
    </row>
    <row r="33" spans="1:42" ht="17.25" customHeight="1">
      <c r="A33" s="250"/>
      <c r="B33" s="250"/>
      <c r="C33" s="250"/>
      <c r="D33" s="261"/>
      <c r="E33" s="261"/>
      <c r="F33" s="250"/>
      <c r="G33" s="250"/>
      <c r="H33" s="250"/>
      <c r="I33" s="250"/>
      <c r="J33" s="250"/>
      <c r="K33" s="250"/>
      <c r="L33" s="250"/>
      <c r="M33" s="250"/>
      <c r="N33" s="250"/>
      <c r="O33" s="250"/>
      <c r="P33" s="250"/>
      <c r="Q33" s="250"/>
      <c r="R33" s="250"/>
      <c r="S33" s="250"/>
      <c r="T33" s="250"/>
      <c r="U33" s="250"/>
      <c r="V33" s="122">
        <f>SUM(V3:V32)*Settings!I2</f>
        <v>0</v>
      </c>
      <c r="W33" s="165">
        <f>SUM(W3:W32)*Settings!I2</f>
        <v>0</v>
      </c>
      <c r="X33" s="165">
        <f>SUM(X3:X32)*Settings!I2</f>
        <v>0</v>
      </c>
      <c r="Y33" s="75">
        <f>SUM(Y3:Y32)*Settings!I2</f>
        <v>0</v>
      </c>
      <c r="Z33" s="197">
        <f>SUM(Z3:Z32)*Settings!I2</f>
        <v>0</v>
      </c>
      <c r="AA33" s="75"/>
      <c r="AB33" s="75"/>
      <c r="AC33" s="75"/>
      <c r="AD33" s="75"/>
      <c r="AE33" s="250"/>
      <c r="AF33" s="250"/>
      <c r="AG33" s="250">
        <f t="shared" si="7"/>
        <v>0</v>
      </c>
      <c r="AH33" s="250">
        <f t="shared" si="8"/>
        <v>0</v>
      </c>
      <c r="AI33" s="284">
        <f t="shared" si="9"/>
        <v>0</v>
      </c>
      <c r="AJ33" s="250">
        <f t="shared" si="10"/>
        <v>0</v>
      </c>
      <c r="AK33" s="284">
        <f t="shared" si="11"/>
        <v>0</v>
      </c>
      <c r="AL33" s="250">
        <f t="shared" si="12"/>
        <v>0</v>
      </c>
      <c r="AM33" s="250">
        <f t="shared" si="13"/>
        <v>0</v>
      </c>
      <c r="AN33" s="250">
        <f t="shared" si="14"/>
        <v>0</v>
      </c>
      <c r="AO33" s="250">
        <f t="shared" si="15"/>
        <v>0</v>
      </c>
      <c r="AP33" s="250"/>
    </row>
    <row r="34" spans="1:42" ht="17.25" customHeight="1">
      <c r="A34" s="250"/>
      <c r="B34" s="250"/>
      <c r="C34" s="250"/>
      <c r="D34" s="261"/>
      <c r="E34" s="261"/>
      <c r="F34" s="250"/>
      <c r="G34" s="250"/>
      <c r="H34" s="250"/>
      <c r="I34" s="250"/>
      <c r="J34" s="250"/>
      <c r="K34" s="250"/>
      <c r="L34" s="250"/>
      <c r="M34" s="250"/>
      <c r="N34" s="250"/>
      <c r="O34" s="250"/>
      <c r="P34" s="250"/>
      <c r="Q34" s="250"/>
      <c r="R34" s="250"/>
      <c r="S34" s="250"/>
      <c r="T34" s="250"/>
      <c r="U34" s="250"/>
      <c r="V34" s="250"/>
      <c r="W34" s="250"/>
      <c r="X34" s="250"/>
      <c r="Y34" s="250"/>
      <c r="Z34" s="262"/>
      <c r="AA34" s="250"/>
      <c r="AB34" s="250"/>
      <c r="AC34" s="250"/>
      <c r="AD34" s="250"/>
      <c r="AE34" s="250"/>
      <c r="AF34" s="250"/>
      <c r="AG34" s="250">
        <f t="shared" si="7"/>
        <v>0</v>
      </c>
      <c r="AH34" s="250">
        <f t="shared" si="8"/>
        <v>0</v>
      </c>
      <c r="AI34" s="284">
        <f t="shared" si="9"/>
        <v>0</v>
      </c>
      <c r="AJ34" s="250">
        <f t="shared" si="10"/>
        <v>0</v>
      </c>
      <c r="AK34" s="284">
        <f t="shared" si="11"/>
        <v>0</v>
      </c>
      <c r="AL34" s="250">
        <f t="shared" si="12"/>
        <v>0</v>
      </c>
      <c r="AM34" s="250">
        <f t="shared" si="13"/>
        <v>0</v>
      </c>
      <c r="AN34" s="250">
        <f t="shared" si="14"/>
        <v>0</v>
      </c>
      <c r="AO34" s="250">
        <f t="shared" si="15"/>
        <v>0</v>
      </c>
      <c r="AP34" s="250"/>
    </row>
    <row r="35" spans="1:42" ht="17.25" customHeight="1">
      <c r="A35" s="250"/>
      <c r="B35" s="250"/>
      <c r="C35" s="250"/>
      <c r="D35" s="261"/>
      <c r="E35" s="261"/>
      <c r="F35" s="250"/>
      <c r="G35" s="250"/>
      <c r="H35" s="250"/>
      <c r="I35" s="250"/>
      <c r="J35" s="250"/>
      <c r="K35" s="250"/>
      <c r="L35" s="250"/>
      <c r="M35" s="250"/>
      <c r="N35" s="250"/>
      <c r="O35" s="250"/>
      <c r="P35" s="250"/>
      <c r="Q35" s="250"/>
      <c r="R35" s="250"/>
      <c r="S35" s="250"/>
      <c r="T35" s="250"/>
      <c r="U35" s="250"/>
      <c r="V35" s="250"/>
      <c r="W35" s="250"/>
      <c r="X35" s="250"/>
      <c r="Y35" s="250"/>
      <c r="Z35" s="262"/>
      <c r="AA35" s="250"/>
      <c r="AB35" s="250"/>
      <c r="AC35" s="250"/>
      <c r="AD35" s="250"/>
      <c r="AE35" s="250"/>
      <c r="AF35" s="250"/>
      <c r="AG35" s="250">
        <f t="shared" si="7"/>
        <v>0</v>
      </c>
      <c r="AH35" s="250">
        <f t="shared" si="8"/>
        <v>0</v>
      </c>
      <c r="AI35" s="284">
        <f t="shared" si="9"/>
        <v>0</v>
      </c>
      <c r="AJ35" s="250">
        <f t="shared" si="10"/>
        <v>0</v>
      </c>
      <c r="AK35" s="284">
        <f t="shared" si="11"/>
        <v>0</v>
      </c>
      <c r="AL35" s="250">
        <f t="shared" si="12"/>
        <v>0</v>
      </c>
      <c r="AM35" s="250">
        <f t="shared" si="13"/>
        <v>0</v>
      </c>
      <c r="AN35" s="250">
        <f t="shared" si="14"/>
        <v>0</v>
      </c>
      <c r="AO35" s="250">
        <f t="shared" si="15"/>
        <v>0</v>
      </c>
      <c r="AP35" s="250"/>
    </row>
  </sheetData>
  <mergeCells count="11">
    <mergeCell ref="A1:D1"/>
    <mergeCell ref="C30:C31"/>
    <mergeCell ref="B18:B23"/>
    <mergeCell ref="W1:AO1"/>
    <mergeCell ref="M1:V1"/>
    <mergeCell ref="C26:C29"/>
    <mergeCell ref="C3:C14"/>
    <mergeCell ref="C21:C22"/>
    <mergeCell ref="B24:B31"/>
    <mergeCell ref="C24:C25"/>
    <mergeCell ref="B3:B17"/>
  </mergeCells>
  <hyperlinks>
    <hyperlink ref="E13" r:id="rId1" xr:uid="{00000000-0004-0000-0700-000000000000}"/>
    <hyperlink ref="E14" r:id="rId2" xr:uid="{00000000-0004-0000-0700-000001000000}"/>
    <hyperlink ref="E22" r:id="rId3" xr:uid="{00000000-0004-0000-0700-000002000000}"/>
    <hyperlink ref="E25" r:id="rId4" xr:uid="{00000000-0004-0000-0700-000003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15"/>
  <sheetViews>
    <sheetView topLeftCell="C1" workbookViewId="0">
      <selection activeCell="F13" sqref="F13"/>
    </sheetView>
  </sheetViews>
  <sheetFormatPr defaultRowHeight="14.4"/>
  <cols>
    <col min="1" max="1" width="22.5546875" style="276" customWidth="1"/>
    <col min="2" max="2" width="11" style="276" bestFit="1" customWidth="1"/>
    <col min="3" max="3" width="10" style="276" bestFit="1" customWidth="1"/>
    <col min="4" max="4" width="10.5546875" style="276" bestFit="1" customWidth="1"/>
    <col min="5" max="5" width="19.44140625" style="276" bestFit="1" customWidth="1"/>
    <col min="6" max="6" width="12.33203125" style="276" bestFit="1" customWidth="1"/>
  </cols>
  <sheetData>
    <row r="1" spans="1:18">
      <c r="B1" s="7" t="s">
        <v>365</v>
      </c>
      <c r="C1" s="7" t="s">
        <v>2</v>
      </c>
      <c r="D1" s="7" t="s">
        <v>4</v>
      </c>
      <c r="E1" s="7" t="s">
        <v>366</v>
      </c>
      <c r="F1" s="7" t="s">
        <v>12</v>
      </c>
    </row>
    <row r="2" spans="1:18">
      <c r="A2" t="s">
        <v>13</v>
      </c>
      <c r="B2" s="53">
        <f>'Technical Support Raw Data'!F10</f>
        <v>5.208333333333333</v>
      </c>
      <c r="C2" s="256">
        <f>B2-(B2 * 50%)</f>
        <v>2.6041666666666665</v>
      </c>
      <c r="D2" s="256">
        <f>B2 + (C2 * 10%)</f>
        <v>5.46875</v>
      </c>
      <c r="E2" s="118">
        <f>(C2+(4*B2)+D2)/6</f>
        <v>4.817708333333333</v>
      </c>
      <c r="F2" s="164">
        <f>E2/2</f>
        <v>2.4088541666666665</v>
      </c>
    </row>
    <row r="3" spans="1:18">
      <c r="A3" t="s">
        <v>16</v>
      </c>
      <c r="B3" s="53">
        <f>'Technical Support Raw Data'!F11</f>
        <v>1.25</v>
      </c>
      <c r="C3" s="256">
        <f>B3-(B3 * 50%)</f>
        <v>0.625</v>
      </c>
      <c r="D3" s="256">
        <f>B3 + (C3 * 10%)</f>
        <v>1.3125</v>
      </c>
      <c r="E3" s="118">
        <f>(C3+(4*B3)+D3)/6</f>
        <v>1.15625</v>
      </c>
      <c r="F3" s="164">
        <f>E3/2</f>
        <v>0.578125</v>
      </c>
    </row>
    <row r="4" spans="1:18">
      <c r="A4" t="s">
        <v>14</v>
      </c>
      <c r="B4" s="53">
        <f>'Technical Support Raw Data'!F12</f>
        <v>4.25</v>
      </c>
      <c r="C4" s="256">
        <f>B4-(B4 * 50%)</f>
        <v>2.125</v>
      </c>
      <c r="D4" s="256">
        <f>B4 + (C4 * 10%)</f>
        <v>4.4625000000000004</v>
      </c>
      <c r="E4" s="118">
        <f>(C4+(4*B4)+D4)/6</f>
        <v>3.9312499999999999</v>
      </c>
      <c r="F4" s="164">
        <f>E4/2</f>
        <v>1.965625</v>
      </c>
    </row>
    <row r="5" spans="1:18">
      <c r="A5" t="s">
        <v>15</v>
      </c>
      <c r="B5" s="53">
        <f>'Technical Support Raw Data'!F13</f>
        <v>3.5694444444444442</v>
      </c>
      <c r="C5" s="256">
        <f>B5-(B5 * 50%)</f>
        <v>1.7847222222222221</v>
      </c>
      <c r="D5" s="256">
        <f>B5 + (C5 * 10%)</f>
        <v>3.7479166666666663</v>
      </c>
      <c r="E5" s="118">
        <f>(C5+(4*B5)+D5)/6</f>
        <v>3.301736111111111</v>
      </c>
      <c r="F5" s="164">
        <f>E5/2</f>
        <v>1.6508680555555555</v>
      </c>
    </row>
    <row r="6" spans="1:18">
      <c r="A6" t="s">
        <v>165</v>
      </c>
      <c r="B6" s="53">
        <f>'Technical Support Raw Data'!F13</f>
        <v>3.5694444444444442</v>
      </c>
      <c r="C6" s="256">
        <f>B6-(B6 * 50%)</f>
        <v>1.7847222222222221</v>
      </c>
      <c r="D6" s="256">
        <f>B6 + (C6 * 10%)</f>
        <v>3.7479166666666663</v>
      </c>
      <c r="E6" s="118">
        <f>(C6+(4*B6)+D6)/6</f>
        <v>3.301736111111111</v>
      </c>
      <c r="F6" s="164">
        <f>E6/2</f>
        <v>1.6508680555555555</v>
      </c>
    </row>
    <row r="8" spans="1:18">
      <c r="J8" t="s">
        <v>367</v>
      </c>
    </row>
    <row r="9" spans="1:18">
      <c r="J9">
        <v>65</v>
      </c>
      <c r="K9" t="s">
        <v>368</v>
      </c>
      <c r="L9" s="53">
        <f>J9/3</f>
        <v>21.666666666666668</v>
      </c>
      <c r="M9" t="s">
        <v>369</v>
      </c>
    </row>
    <row r="10" spans="1:18">
      <c r="J10">
        <f>L10*L9</f>
        <v>671.66666666666674</v>
      </c>
      <c r="K10" t="s">
        <v>370</v>
      </c>
      <c r="L10">
        <v>31</v>
      </c>
      <c r="M10" t="s">
        <v>371</v>
      </c>
    </row>
    <row r="11" spans="1:18">
      <c r="J11">
        <v>38</v>
      </c>
      <c r="K11" t="s">
        <v>372</v>
      </c>
    </row>
    <row r="12" spans="1:18">
      <c r="E12">
        <v>30</v>
      </c>
      <c r="F12" t="s">
        <v>373</v>
      </c>
      <c r="J12">
        <f>J10-J11</f>
        <v>633.66666666666674</v>
      </c>
      <c r="K12" t="s">
        <v>374</v>
      </c>
    </row>
    <row r="13" spans="1:18">
      <c r="J13">
        <f>J12/18</f>
        <v>35.203703703703709</v>
      </c>
      <c r="K13" t="s">
        <v>375</v>
      </c>
    </row>
    <row r="14" spans="1:18">
      <c r="J14">
        <f>(J13*3)*3</f>
        <v>316.83333333333337</v>
      </c>
      <c r="K14" t="s">
        <v>376</v>
      </c>
      <c r="N14">
        <f>J14</f>
        <v>316.83333333333337</v>
      </c>
      <c r="O14" s="256">
        <f>N14-(N14 * 50%)</f>
        <v>158.41666666666669</v>
      </c>
      <c r="P14" s="256">
        <f>N14 + (N14 * 10%)</f>
        <v>348.51666666666671</v>
      </c>
      <c r="Q14" s="118">
        <f>(O14+(4*N14)+P14)/6</f>
        <v>295.71111111111117</v>
      </c>
      <c r="R14" s="164">
        <f>Q14/2</f>
        <v>147.85555555555558</v>
      </c>
    </row>
    <row r="15" spans="1:18">
      <c r="J15">
        <f>J14/3</f>
        <v>105.61111111111113</v>
      </c>
      <c r="K15" t="s">
        <v>377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G13"/>
  <sheetViews>
    <sheetView workbookViewId="0">
      <selection activeCell="B2" sqref="B2:F5"/>
    </sheetView>
  </sheetViews>
  <sheetFormatPr defaultRowHeight="14.4"/>
  <cols>
    <col min="2" max="2" width="18.33203125" style="276" customWidth="1"/>
    <col min="7" max="7" width="10.44140625" style="276" bestFit="1" customWidth="1"/>
  </cols>
  <sheetData>
    <row r="1" spans="2:7">
      <c r="B1" s="157" t="s">
        <v>378</v>
      </c>
      <c r="C1" s="7" t="s">
        <v>379</v>
      </c>
      <c r="D1" s="7" t="s">
        <v>380</v>
      </c>
      <c r="E1" s="7" t="s">
        <v>381</v>
      </c>
      <c r="F1" s="7" t="s">
        <v>382</v>
      </c>
      <c r="G1" s="7"/>
    </row>
    <row r="2" spans="2:7">
      <c r="B2" s="7" t="s">
        <v>13</v>
      </c>
      <c r="C2">
        <v>48</v>
      </c>
      <c r="D2">
        <v>48</v>
      </c>
      <c r="E2">
        <v>29</v>
      </c>
      <c r="F2" s="53">
        <f>AVERAGE(C2:E2)</f>
        <v>41.666666666666664</v>
      </c>
    </row>
    <row r="3" spans="2:7">
      <c r="B3" s="7" t="s">
        <v>16</v>
      </c>
      <c r="D3">
        <v>8</v>
      </c>
      <c r="E3">
        <v>12</v>
      </c>
      <c r="F3">
        <f>AVERAGE(C3:E3)</f>
        <v>10</v>
      </c>
    </row>
    <row r="4" spans="2:7">
      <c r="B4" s="7" t="s">
        <v>14</v>
      </c>
      <c r="E4">
        <v>34</v>
      </c>
      <c r="F4">
        <f>AVERAGE(C4:E4)</f>
        <v>34</v>
      </c>
    </row>
    <row r="5" spans="2:7">
      <c r="F5" s="53">
        <f>AVERAGE(F2:F4)</f>
        <v>28.555555555555554</v>
      </c>
      <c r="G5" s="53" t="s">
        <v>383</v>
      </c>
    </row>
    <row r="9" spans="2:7">
      <c r="B9" s="157" t="s">
        <v>384</v>
      </c>
      <c r="C9" s="7" t="s">
        <v>379</v>
      </c>
      <c r="D9" s="7" t="s">
        <v>380</v>
      </c>
      <c r="E9" s="7" t="s">
        <v>381</v>
      </c>
      <c r="F9" s="7" t="s">
        <v>382</v>
      </c>
    </row>
    <row r="10" spans="2:7">
      <c r="B10" s="7" t="s">
        <v>13</v>
      </c>
      <c r="C10">
        <f>C2/8</f>
        <v>6</v>
      </c>
      <c r="D10">
        <f>D2/8</f>
        <v>6</v>
      </c>
      <c r="E10">
        <f>E2/8</f>
        <v>3.625</v>
      </c>
      <c r="F10" s="53">
        <f>AVERAGE(C10:E10)</f>
        <v>5.208333333333333</v>
      </c>
    </row>
    <row r="11" spans="2:7">
      <c r="B11" s="7" t="s">
        <v>16</v>
      </c>
      <c r="D11">
        <f>D3/8</f>
        <v>1</v>
      </c>
      <c r="E11">
        <f>E3/8</f>
        <v>1.5</v>
      </c>
      <c r="F11">
        <f>AVERAGE(C11:E11)</f>
        <v>1.25</v>
      </c>
    </row>
    <row r="12" spans="2:7">
      <c r="B12" s="7" t="s">
        <v>14</v>
      </c>
      <c r="E12">
        <f>E4/8</f>
        <v>4.25</v>
      </c>
      <c r="F12">
        <f>AVERAGE(C12:E12)</f>
        <v>4.25</v>
      </c>
    </row>
    <row r="13" spans="2:7">
      <c r="F13" s="53">
        <f>AVERAGE(F10:F12)</f>
        <v>3.5694444444444442</v>
      </c>
      <c r="G13" t="s">
        <v>385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M23"/>
  <sheetViews>
    <sheetView workbookViewId="0">
      <selection activeCell="I3" sqref="I3"/>
    </sheetView>
  </sheetViews>
  <sheetFormatPr defaultRowHeight="14.4"/>
  <cols>
    <col min="2" max="2" width="13.33203125" style="276" customWidth="1"/>
    <col min="3" max="3" width="12" style="276" customWidth="1"/>
    <col min="4" max="5" width="13.109375" style="276" customWidth="1"/>
    <col min="6" max="6" width="15.6640625" style="276" customWidth="1"/>
    <col min="7" max="7" width="13.44140625" style="276" customWidth="1"/>
    <col min="9" max="9" width="12.109375" style="276" customWidth="1"/>
  </cols>
  <sheetData>
    <row r="1" spans="2:13" ht="15" customHeight="1">
      <c r="B1" s="157" t="s">
        <v>386</v>
      </c>
      <c r="I1" s="124"/>
      <c r="J1" s="125"/>
      <c r="K1" s="125"/>
      <c r="L1" s="125"/>
      <c r="M1" s="126"/>
    </row>
    <row r="2" spans="2:13" ht="21" customHeight="1">
      <c r="B2" s="7" t="s">
        <v>387</v>
      </c>
      <c r="C2" s="7" t="s">
        <v>388</v>
      </c>
      <c r="D2" s="7" t="s">
        <v>389</v>
      </c>
      <c r="E2" s="7" t="s">
        <v>390</v>
      </c>
      <c r="F2" s="7" t="s">
        <v>391</v>
      </c>
      <c r="G2" s="7" t="s">
        <v>392</v>
      </c>
      <c r="I2" s="134">
        <v>0</v>
      </c>
      <c r="J2" s="127" t="s">
        <v>393</v>
      </c>
      <c r="K2" s="128"/>
      <c r="L2" s="128"/>
      <c r="M2" s="129"/>
    </row>
    <row r="3" spans="2:13" ht="15" customHeight="1">
      <c r="B3" t="s">
        <v>394</v>
      </c>
      <c r="C3">
        <f t="shared" ref="C3:C8" si="0">D3-(D3*0.5)</f>
        <v>4</v>
      </c>
      <c r="D3" s="21">
        <v>8</v>
      </c>
      <c r="E3" s="36">
        <f t="shared" ref="E3:E8" si="1">D3/$D$9</f>
        <v>8.8888888888888892E-2</v>
      </c>
      <c r="F3">
        <f t="shared" ref="F3:F8" si="2">D3+(D3*0.1)</f>
        <v>8.8000000000000007</v>
      </c>
      <c r="I3" s="130"/>
      <c r="J3" s="128"/>
      <c r="K3" s="128"/>
      <c r="L3" s="128"/>
      <c r="M3" s="129"/>
    </row>
    <row r="4" spans="2:13" ht="15" customHeight="1">
      <c r="B4" t="s">
        <v>395</v>
      </c>
      <c r="C4">
        <f t="shared" si="0"/>
        <v>7.5</v>
      </c>
      <c r="D4" s="21">
        <v>15</v>
      </c>
      <c r="E4" s="36">
        <f t="shared" si="1"/>
        <v>0.16666666666666666</v>
      </c>
      <c r="F4">
        <f t="shared" si="2"/>
        <v>16.5</v>
      </c>
      <c r="I4" s="130" t="s">
        <v>396</v>
      </c>
      <c r="J4" s="128"/>
      <c r="K4" s="128"/>
      <c r="L4" s="128"/>
      <c r="M4" s="129"/>
    </row>
    <row r="5" spans="2:13" ht="15" customHeight="1">
      <c r="B5" t="s">
        <v>297</v>
      </c>
      <c r="C5">
        <f t="shared" si="0"/>
        <v>22.5</v>
      </c>
      <c r="D5" s="21">
        <v>45</v>
      </c>
      <c r="E5" s="36">
        <f t="shared" si="1"/>
        <v>0.5</v>
      </c>
      <c r="F5">
        <f t="shared" si="2"/>
        <v>49.5</v>
      </c>
      <c r="I5" s="131" t="s">
        <v>397</v>
      </c>
      <c r="J5" s="132"/>
      <c r="K5" s="132"/>
      <c r="L5" s="132"/>
      <c r="M5" s="133"/>
    </row>
    <row r="6" spans="2:13" ht="15" customHeight="1">
      <c r="B6" t="s">
        <v>40</v>
      </c>
      <c r="C6">
        <f t="shared" si="0"/>
        <v>7.5</v>
      </c>
      <c r="D6" s="21">
        <v>15</v>
      </c>
      <c r="E6" s="36">
        <f t="shared" si="1"/>
        <v>0.16666666666666666</v>
      </c>
      <c r="F6">
        <f t="shared" si="2"/>
        <v>16.5</v>
      </c>
    </row>
    <row r="7" spans="2:13" ht="15" customHeight="1">
      <c r="B7" t="s">
        <v>42</v>
      </c>
      <c r="C7">
        <f t="shared" si="0"/>
        <v>1</v>
      </c>
      <c r="D7" s="21">
        <v>2</v>
      </c>
      <c r="E7" s="36">
        <f t="shared" si="1"/>
        <v>2.2222222222222223E-2</v>
      </c>
      <c r="F7">
        <f t="shared" si="2"/>
        <v>2.2000000000000002</v>
      </c>
    </row>
    <row r="8" spans="2:13" ht="15" customHeight="1">
      <c r="B8" t="s">
        <v>398</v>
      </c>
      <c r="C8">
        <f t="shared" si="0"/>
        <v>2.5</v>
      </c>
      <c r="D8" s="21">
        <v>5</v>
      </c>
      <c r="E8" s="36">
        <f t="shared" si="1"/>
        <v>5.5555555555555552E-2</v>
      </c>
      <c r="F8">
        <f t="shared" si="2"/>
        <v>5.5</v>
      </c>
    </row>
    <row r="9" spans="2:13" ht="15" customHeight="1">
      <c r="C9">
        <f>SUM(C3:C8)</f>
        <v>45</v>
      </c>
      <c r="D9" s="21">
        <f>SUM(D3:D8)</f>
        <v>90</v>
      </c>
      <c r="F9">
        <f>SUM(F3:F8)</f>
        <v>99</v>
      </c>
      <c r="G9">
        <f>(C9+(4*D9)+F9)/6</f>
        <v>84</v>
      </c>
    </row>
    <row r="10" spans="2:13" ht="15" customHeight="1"/>
    <row r="11" spans="2:13" ht="15" customHeight="1"/>
    <row r="12" spans="2:13" ht="15" customHeight="1"/>
    <row r="15" spans="2:13" ht="15" customHeight="1"/>
    <row r="17" spans="9:9" ht="15" customHeight="1"/>
    <row r="18" spans="9:9" ht="15" customHeight="1"/>
    <row r="19" spans="9:9" ht="15" customHeight="1">
      <c r="I19" s="7" t="s">
        <v>399</v>
      </c>
    </row>
    <row r="20" spans="9:9" ht="15" customHeight="1">
      <c r="I20" t="s">
        <v>400</v>
      </c>
    </row>
    <row r="21" spans="9:9" ht="15" customHeight="1">
      <c r="I21" t="s">
        <v>401</v>
      </c>
    </row>
    <row r="22" spans="9:9" ht="15" customHeight="1">
      <c r="I22" t="s">
        <v>402</v>
      </c>
    </row>
    <row r="23" spans="9:9" ht="15" customHeight="1">
      <c r="I23" t="s">
        <v>403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5"/>
  <sheetViews>
    <sheetView workbookViewId="0">
      <selection activeCell="D17" sqref="D17"/>
    </sheetView>
  </sheetViews>
  <sheetFormatPr defaultRowHeight="14.4"/>
  <cols>
    <col min="1" max="1" width="6.6640625" style="276" customWidth="1"/>
    <col min="2" max="2" width="19.44140625" style="276" customWidth="1"/>
    <col min="3" max="3" width="20.109375" style="276" customWidth="1"/>
    <col min="4" max="4" width="51.109375" style="276" customWidth="1"/>
    <col min="5" max="5" width="12.44140625" style="276" customWidth="1"/>
    <col min="6" max="6" width="10" style="276" customWidth="1"/>
    <col min="7" max="7" width="7.6640625" style="276" customWidth="1"/>
    <col min="8" max="8" width="11.6640625" style="276" customWidth="1"/>
  </cols>
  <sheetData>
    <row r="1" spans="1:9">
      <c r="A1" s="7" t="s">
        <v>404</v>
      </c>
      <c r="B1" s="7"/>
      <c r="C1" s="31"/>
      <c r="D1" s="7"/>
      <c r="E1" s="7"/>
      <c r="F1" s="7"/>
      <c r="G1" s="7"/>
      <c r="H1" s="7"/>
    </row>
    <row r="2" spans="1:9" ht="15" customHeight="1" thickBot="1">
      <c r="A2" s="3" t="s">
        <v>27</v>
      </c>
      <c r="B2" s="3" t="s">
        <v>28</v>
      </c>
      <c r="C2" s="32" t="s">
        <v>29</v>
      </c>
      <c r="D2" s="27" t="s">
        <v>30</v>
      </c>
      <c r="E2" s="25" t="s">
        <v>32</v>
      </c>
      <c r="F2" s="25" t="s">
        <v>33</v>
      </c>
      <c r="G2" s="25" t="s">
        <v>34</v>
      </c>
      <c r="H2" s="25" t="s">
        <v>35</v>
      </c>
      <c r="I2" s="25" t="s">
        <v>45</v>
      </c>
    </row>
    <row r="3" spans="1:9" ht="28.95" customHeight="1">
      <c r="A3" s="4">
        <v>1</v>
      </c>
      <c r="B3" s="327" t="s">
        <v>405</v>
      </c>
      <c r="C3" s="34" t="s">
        <v>406</v>
      </c>
      <c r="D3" s="28" t="s">
        <v>407</v>
      </c>
      <c r="E3" s="1"/>
      <c r="F3" s="1"/>
      <c r="G3" s="1">
        <v>1</v>
      </c>
      <c r="H3" s="1" t="s">
        <v>66</v>
      </c>
      <c r="I3" s="1">
        <v>6</v>
      </c>
    </row>
    <row r="4" spans="1:9">
      <c r="A4" s="6"/>
      <c r="B4" s="288"/>
      <c r="C4" s="287" t="s">
        <v>408</v>
      </c>
      <c r="D4" s="30" t="s">
        <v>409</v>
      </c>
      <c r="E4" s="1"/>
      <c r="F4" s="1"/>
      <c r="G4" s="1">
        <v>1</v>
      </c>
      <c r="H4" s="1" t="s">
        <v>69</v>
      </c>
      <c r="I4" s="1">
        <v>6</v>
      </c>
    </row>
    <row r="5" spans="1:9">
      <c r="A5" s="5">
        <v>3</v>
      </c>
      <c r="B5" s="289"/>
      <c r="C5" s="289"/>
      <c r="D5" s="29" t="s">
        <v>408</v>
      </c>
      <c r="E5" s="1"/>
      <c r="F5" s="1"/>
      <c r="G5" s="1">
        <v>1</v>
      </c>
      <c r="H5" s="1" t="s">
        <v>69</v>
      </c>
      <c r="I5" s="1">
        <v>15</v>
      </c>
    </row>
  </sheetData>
  <mergeCells count="2">
    <mergeCell ref="C4:C5"/>
    <mergeCell ref="B3:B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D3:M15"/>
  <sheetViews>
    <sheetView workbookViewId="0">
      <selection activeCell="C2" sqref="C2:M16"/>
    </sheetView>
  </sheetViews>
  <sheetFormatPr defaultRowHeight="14.4"/>
  <cols>
    <col min="5" max="5" width="16" style="276" bestFit="1" customWidth="1"/>
    <col min="6" max="6" width="23.88671875" style="276" customWidth="1"/>
    <col min="9" max="9" width="16" style="276" bestFit="1" customWidth="1"/>
  </cols>
  <sheetData>
    <row r="3" spans="4:13">
      <c r="D3" s="328" t="s">
        <v>410</v>
      </c>
      <c r="E3" s="302"/>
      <c r="F3" s="302"/>
      <c r="I3" s="328" t="s">
        <v>411</v>
      </c>
      <c r="J3" s="302"/>
      <c r="K3" s="302"/>
      <c r="L3" s="302"/>
      <c r="M3" s="302"/>
    </row>
    <row r="5" spans="4:13">
      <c r="D5" t="s">
        <v>412</v>
      </c>
      <c r="E5" t="s">
        <v>413</v>
      </c>
      <c r="F5" t="s">
        <v>33</v>
      </c>
      <c r="I5" t="s">
        <v>413</v>
      </c>
      <c r="J5" t="s">
        <v>414</v>
      </c>
      <c r="K5" t="s">
        <v>415</v>
      </c>
      <c r="L5" t="s">
        <v>416</v>
      </c>
      <c r="M5" t="s">
        <v>417</v>
      </c>
    </row>
    <row r="6" spans="4:13">
      <c r="D6" t="s">
        <v>414</v>
      </c>
      <c r="E6" s="191">
        <v>46120.473611111112</v>
      </c>
      <c r="F6">
        <v>15</v>
      </c>
      <c r="I6" s="191">
        <v>46120.474999999999</v>
      </c>
      <c r="J6">
        <v>15</v>
      </c>
      <c r="K6">
        <v>16</v>
      </c>
      <c r="L6">
        <v>17</v>
      </c>
      <c r="M6">
        <v>18</v>
      </c>
    </row>
    <row r="7" spans="4:13">
      <c r="D7" t="s">
        <v>415</v>
      </c>
      <c r="E7" s="191">
        <v>46121.473611111112</v>
      </c>
      <c r="F7">
        <v>16</v>
      </c>
      <c r="I7" s="191">
        <v>46121.474999942133</v>
      </c>
      <c r="J7">
        <v>16</v>
      </c>
      <c r="K7">
        <v>17</v>
      </c>
      <c r="L7">
        <v>17</v>
      </c>
      <c r="M7">
        <v>18</v>
      </c>
    </row>
    <row r="8" spans="4:13">
      <c r="D8" t="s">
        <v>416</v>
      </c>
      <c r="E8" s="191">
        <v>46122.473611111112</v>
      </c>
      <c r="F8">
        <v>17</v>
      </c>
      <c r="I8" s="191">
        <v>46122.474999942133</v>
      </c>
      <c r="J8">
        <v>17</v>
      </c>
      <c r="K8">
        <v>18</v>
      </c>
      <c r="L8">
        <v>17</v>
      </c>
      <c r="M8">
        <v>18</v>
      </c>
    </row>
    <row r="9" spans="4:13">
      <c r="D9" t="s">
        <v>417</v>
      </c>
      <c r="E9" s="191">
        <v>46123.473611111112</v>
      </c>
      <c r="F9">
        <v>18</v>
      </c>
      <c r="I9" s="191">
        <v>46123.474999942133</v>
      </c>
      <c r="J9">
        <v>18</v>
      </c>
      <c r="K9">
        <v>19</v>
      </c>
      <c r="L9">
        <v>17</v>
      </c>
      <c r="M9">
        <v>18</v>
      </c>
    </row>
    <row r="10" spans="4:13">
      <c r="D10" t="s">
        <v>418</v>
      </c>
      <c r="E10" s="191">
        <v>46124.473611111112</v>
      </c>
      <c r="F10">
        <v>19</v>
      </c>
      <c r="I10" s="191">
        <v>46124.474999942133</v>
      </c>
      <c r="J10">
        <v>19</v>
      </c>
      <c r="K10">
        <v>20</v>
      </c>
      <c r="L10">
        <v>17</v>
      </c>
      <c r="M10">
        <v>18</v>
      </c>
    </row>
    <row r="11" spans="4:13">
      <c r="D11" t="s">
        <v>419</v>
      </c>
      <c r="E11" s="191">
        <v>46125.473611111112</v>
      </c>
      <c r="F11">
        <v>20</v>
      </c>
      <c r="I11" s="191">
        <v>46125.474999942133</v>
      </c>
      <c r="J11">
        <v>20</v>
      </c>
      <c r="K11">
        <v>21</v>
      </c>
      <c r="L11">
        <v>17</v>
      </c>
      <c r="M11">
        <v>18</v>
      </c>
    </row>
    <row r="12" spans="4:13">
      <c r="D12" t="s">
        <v>420</v>
      </c>
      <c r="E12" s="191">
        <v>46126.473611111112</v>
      </c>
      <c r="F12">
        <v>21</v>
      </c>
      <c r="I12" s="191">
        <v>46126.474999942133</v>
      </c>
      <c r="J12">
        <v>21</v>
      </c>
      <c r="K12">
        <v>22</v>
      </c>
      <c r="L12">
        <v>17</v>
      </c>
      <c r="M12">
        <v>18</v>
      </c>
    </row>
    <row r="13" spans="4:13">
      <c r="D13" t="s">
        <v>421</v>
      </c>
      <c r="E13" s="191">
        <v>46127.473611111112</v>
      </c>
      <c r="F13">
        <v>22</v>
      </c>
    </row>
    <row r="14" spans="4:13">
      <c r="D14" t="s">
        <v>422</v>
      </c>
      <c r="E14" s="191">
        <v>46128.473611111112</v>
      </c>
      <c r="F14">
        <v>23</v>
      </c>
    </row>
    <row r="15" spans="4:13">
      <c r="D15" t="s">
        <v>423</v>
      </c>
      <c r="E15" s="191">
        <v>46129.473611111112</v>
      </c>
      <c r="F15">
        <v>24</v>
      </c>
    </row>
  </sheetData>
  <mergeCells count="2">
    <mergeCell ref="I3:M3"/>
    <mergeCell ref="D3:F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45"/>
  <sheetViews>
    <sheetView topLeftCell="A11" workbookViewId="0">
      <selection activeCell="B16" sqref="B16"/>
    </sheetView>
  </sheetViews>
  <sheetFormatPr defaultRowHeight="14.4"/>
  <cols>
    <col min="1" max="1" width="57.109375" style="276" bestFit="1" customWidth="1"/>
    <col min="2" max="2" width="39.109375" style="276" bestFit="1" customWidth="1"/>
    <col min="3" max="3" width="46.6640625" style="276" bestFit="1" customWidth="1"/>
    <col min="4" max="4" width="53" style="276" bestFit="1" customWidth="1"/>
  </cols>
  <sheetData>
    <row r="1" spans="1:4">
      <c r="A1" s="69" t="s">
        <v>424</v>
      </c>
      <c r="B1" s="69" t="s">
        <v>425</v>
      </c>
      <c r="C1" s="69" t="s">
        <v>426</v>
      </c>
      <c r="D1" s="69" t="s">
        <v>427</v>
      </c>
    </row>
    <row r="2" spans="1:4">
      <c r="A2" s="69" t="s">
        <v>428</v>
      </c>
      <c r="B2" s="66" t="s">
        <v>429</v>
      </c>
      <c r="C2" s="66" t="s">
        <v>429</v>
      </c>
      <c r="D2" s="66" t="s">
        <v>430</v>
      </c>
    </row>
    <row r="3" spans="1:4">
      <c r="A3" s="66"/>
      <c r="B3" s="66" t="s">
        <v>431</v>
      </c>
      <c r="C3" s="66" t="s">
        <v>431</v>
      </c>
      <c r="D3" s="66"/>
    </row>
    <row r="4" spans="1:4">
      <c r="A4" s="69" t="s">
        <v>432</v>
      </c>
      <c r="B4" s="66" t="s">
        <v>429</v>
      </c>
      <c r="C4" s="66" t="s">
        <v>429</v>
      </c>
      <c r="D4" s="66" t="s">
        <v>433</v>
      </c>
    </row>
    <row r="5" spans="1:4">
      <c r="A5" s="66"/>
      <c r="B5" s="66" t="s">
        <v>431</v>
      </c>
      <c r="C5" s="66" t="s">
        <v>431</v>
      </c>
      <c r="D5" s="66"/>
    </row>
    <row r="6" spans="1:4">
      <c r="A6" s="69" t="s">
        <v>434</v>
      </c>
      <c r="B6" s="66" t="s">
        <v>429</v>
      </c>
      <c r="C6" s="66" t="s">
        <v>435</v>
      </c>
      <c r="D6" s="66" t="s">
        <v>436</v>
      </c>
    </row>
    <row r="7" spans="1:4">
      <c r="A7" s="66"/>
      <c r="B7" s="66" t="s">
        <v>431</v>
      </c>
      <c r="C7" s="66" t="s">
        <v>431</v>
      </c>
      <c r="D7" s="66"/>
    </row>
    <row r="8" spans="1:4">
      <c r="A8" s="69" t="s">
        <v>437</v>
      </c>
      <c r="B8" s="69" t="s">
        <v>438</v>
      </c>
      <c r="C8" s="69" t="s">
        <v>439</v>
      </c>
      <c r="D8" s="66" t="s">
        <v>440</v>
      </c>
    </row>
    <row r="9" spans="1:4">
      <c r="A9" s="69" t="s">
        <v>441</v>
      </c>
      <c r="B9" s="69" t="s">
        <v>442</v>
      </c>
      <c r="C9" s="69" t="s">
        <v>443</v>
      </c>
      <c r="D9" s="66" t="s">
        <v>444</v>
      </c>
    </row>
    <row r="10" spans="1:4">
      <c r="A10" s="69" t="s">
        <v>445</v>
      </c>
      <c r="B10" s="66" t="s">
        <v>446</v>
      </c>
      <c r="C10" s="66" t="s">
        <v>447</v>
      </c>
      <c r="D10" s="66" t="s">
        <v>448</v>
      </c>
    </row>
    <row r="15" spans="1:4">
      <c r="A15" s="1" t="s">
        <v>65</v>
      </c>
      <c r="B15">
        <f>COUNTA(A15:A45)</f>
        <v>31</v>
      </c>
    </row>
    <row r="16" spans="1:4">
      <c r="A16" s="1" t="s">
        <v>68</v>
      </c>
    </row>
    <row r="17" spans="1:3">
      <c r="A17" s="270" t="s">
        <v>72</v>
      </c>
    </row>
    <row r="18" spans="1:3">
      <c r="A18" s="57" t="s">
        <v>65</v>
      </c>
      <c r="C18" t="s">
        <v>449</v>
      </c>
    </row>
    <row r="19" spans="1:3">
      <c r="A19" s="1" t="s">
        <v>88</v>
      </c>
    </row>
    <row r="20" spans="1:3">
      <c r="A20" s="1" t="s">
        <v>88</v>
      </c>
    </row>
    <row r="21" spans="1:3">
      <c r="A21" s="1" t="s">
        <v>88</v>
      </c>
    </row>
    <row r="22" spans="1:3">
      <c r="A22" s="1" t="s">
        <v>88</v>
      </c>
    </row>
    <row r="23" spans="1:3">
      <c r="A23" s="1" t="s">
        <v>88</v>
      </c>
    </row>
    <row r="24" spans="1:3">
      <c r="A24" s="1" t="s">
        <v>88</v>
      </c>
    </row>
    <row r="25" spans="1:3">
      <c r="A25" s="1" t="s">
        <v>88</v>
      </c>
    </row>
    <row r="26" spans="1:3">
      <c r="A26" s="1" t="s">
        <v>88</v>
      </c>
    </row>
    <row r="27" spans="1:3">
      <c r="A27" s="1" t="s">
        <v>88</v>
      </c>
    </row>
    <row r="28" spans="1:3">
      <c r="A28" s="1" t="s">
        <v>88</v>
      </c>
    </row>
    <row r="29" spans="1:3">
      <c r="A29" s="1" t="s">
        <v>65</v>
      </c>
    </row>
    <row r="30" spans="1:3">
      <c r="A30" s="1" t="s">
        <v>65</v>
      </c>
    </row>
    <row r="31" spans="1:3">
      <c r="A31" s="1" t="s">
        <v>65</v>
      </c>
    </row>
    <row r="32" spans="1:3">
      <c r="A32" s="1" t="s">
        <v>65</v>
      </c>
    </row>
    <row r="33" spans="1:1">
      <c r="A33" s="1" t="s">
        <v>65</v>
      </c>
    </row>
    <row r="34" spans="1:1">
      <c r="A34" s="1" t="s">
        <v>65</v>
      </c>
    </row>
    <row r="35" spans="1:1">
      <c r="A35" s="1" t="s">
        <v>65</v>
      </c>
    </row>
    <row r="36" spans="1:1">
      <c r="A36" s="1" t="s">
        <v>72</v>
      </c>
    </row>
    <row r="37" spans="1:1">
      <c r="A37" s="1" t="s">
        <v>72</v>
      </c>
    </row>
    <row r="38" spans="1:1">
      <c r="A38" s="1" t="s">
        <v>72</v>
      </c>
    </row>
    <row r="39" spans="1:1">
      <c r="A39" s="1" t="s">
        <v>65</v>
      </c>
    </row>
    <row r="40" spans="1:1">
      <c r="A40" s="1" t="s">
        <v>65</v>
      </c>
    </row>
    <row r="41" spans="1:1">
      <c r="A41" s="1" t="s">
        <v>65</v>
      </c>
    </row>
    <row r="42" spans="1:1">
      <c r="A42" s="1" t="s">
        <v>72</v>
      </c>
    </row>
    <row r="43" spans="1:1">
      <c r="A43" s="1" t="s">
        <v>156</v>
      </c>
    </row>
    <row r="44" spans="1:1">
      <c r="A44" s="1" t="s">
        <v>72</v>
      </c>
    </row>
    <row r="45" spans="1:1">
      <c r="A45" s="1" t="s">
        <v>65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7"/>
  <sheetViews>
    <sheetView workbookViewId="0">
      <selection activeCell="C13" sqref="C13"/>
    </sheetView>
  </sheetViews>
  <sheetFormatPr defaultRowHeight="14.4"/>
  <cols>
    <col min="2" max="2" width="29.44140625" style="276" customWidth="1"/>
    <col min="3" max="3" width="13.33203125" style="276" bestFit="1" customWidth="1"/>
    <col min="4" max="4" width="10.6640625" style="276" bestFit="1" customWidth="1"/>
    <col min="5" max="5" width="7.5546875" style="276" bestFit="1" customWidth="1"/>
  </cols>
  <sheetData>
    <row r="1" spans="1:8">
      <c r="B1" s="7" t="s">
        <v>10</v>
      </c>
      <c r="C1" s="7" t="s">
        <v>450</v>
      </c>
      <c r="D1" s="7" t="s">
        <v>451</v>
      </c>
      <c r="E1" s="7" t="s">
        <v>452</v>
      </c>
    </row>
    <row r="2" spans="1:8">
      <c r="B2" t="s">
        <v>453</v>
      </c>
      <c r="D2">
        <v>31</v>
      </c>
      <c r="E2">
        <v>2</v>
      </c>
    </row>
    <row r="3" spans="1:8">
      <c r="B3" t="s">
        <v>454</v>
      </c>
      <c r="H3" t="s">
        <v>455</v>
      </c>
    </row>
    <row r="4" spans="1:8">
      <c r="B4" t="s">
        <v>456</v>
      </c>
      <c r="H4" t="s">
        <v>457</v>
      </c>
    </row>
    <row r="5" spans="1:8">
      <c r="B5" t="s">
        <v>458</v>
      </c>
    </row>
    <row r="6" spans="1:8">
      <c r="B6" t="s">
        <v>15</v>
      </c>
    </row>
    <row r="7" spans="1:8">
      <c r="B7" t="s">
        <v>459</v>
      </c>
    </row>
    <row r="10" spans="1:8">
      <c r="E10" t="s">
        <v>460</v>
      </c>
      <c r="F10" t="s">
        <v>344</v>
      </c>
      <c r="G10" t="s">
        <v>344</v>
      </c>
      <c r="H10" t="s">
        <v>344</v>
      </c>
    </row>
    <row r="11" spans="1:8">
      <c r="A11" t="s">
        <v>461</v>
      </c>
      <c r="B11" t="s">
        <v>10</v>
      </c>
      <c r="C11" t="s">
        <v>462</v>
      </c>
      <c r="D11" t="s">
        <v>171</v>
      </c>
      <c r="E11" t="s">
        <v>12</v>
      </c>
      <c r="F11" t="s">
        <v>463</v>
      </c>
      <c r="G11" t="s">
        <v>464</v>
      </c>
      <c r="H11" t="s">
        <v>465</v>
      </c>
    </row>
    <row r="12" spans="1:8">
      <c r="A12" t="s">
        <v>466</v>
      </c>
      <c r="C12" t="s">
        <v>467</v>
      </c>
      <c r="F12">
        <v>250</v>
      </c>
      <c r="G12">
        <v>125</v>
      </c>
      <c r="H12">
        <v>124</v>
      </c>
    </row>
    <row r="13" spans="1:8">
      <c r="A13" t="s">
        <v>468</v>
      </c>
    </row>
    <row r="14" spans="1:8">
      <c r="A14" t="s">
        <v>469</v>
      </c>
    </row>
    <row r="15" spans="1:8">
      <c r="A15" t="s">
        <v>470</v>
      </c>
    </row>
    <row r="16" spans="1:8">
      <c r="A16" t="s">
        <v>471</v>
      </c>
    </row>
    <row r="17" spans="1:1">
      <c r="A17" t="s">
        <v>472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Summary</vt:lpstr>
      <vt:lpstr>OmniConnect RMI</vt:lpstr>
      <vt:lpstr>Sheet6</vt:lpstr>
      <vt:lpstr>Fintech Fuel RMI</vt:lpstr>
      <vt:lpstr>OmniChat RMI</vt:lpstr>
      <vt:lpstr>Sheet4</vt:lpstr>
      <vt:lpstr>Sheet1</vt:lpstr>
      <vt:lpstr>Digital Log RMI</vt:lpstr>
      <vt:lpstr>Support</vt:lpstr>
      <vt:lpstr>Technical Support Raw Data</vt:lpstr>
      <vt:lpstr>Settings</vt:lpstr>
      <vt:lpstr>Misc</vt:lpstr>
      <vt:lpstr>Sheet3</vt:lpstr>
      <vt:lpstr>Sheet2</vt:lpstr>
      <vt:lpstr>Sheet5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Imran Ashraf</dc:creator>
  <cp:lastModifiedBy>Hassan Malik</cp:lastModifiedBy>
  <dcterms:created xsi:type="dcterms:W3CDTF">2026-01-21T07:53:06Z</dcterms:created>
  <dcterms:modified xsi:type="dcterms:W3CDTF">2026-04-22T11:32:14Z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0x01010085CE7A919F3D4546896D9FF232927007</vt:lpwstr>
  </property>
</Properties>
</file>